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📋 Overview" sheetId="1" state="visible" r:id="rId3"/>
    <sheet name="📅 Weekly Plan" sheetId="2" state="visible" r:id="rId4"/>
    <sheet name="📝 Task Tracker" sheetId="3" state="visible" r:id="rId5"/>
    <sheet name="🐛 Bug Tracker" sheetId="4" state="visible" r:id="rId6"/>
    <sheet name="✅ Feature Checklist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<sst xmlns="http://schemas.openxmlformats.org/spreadsheetml/2006/main" count="504" uniqueCount="233">
  <si>
    <t xml:space="preserve">🎮  SCHIZO SHADOWS  |  FYP3 PROJECT PLAN</t>
  </si>
  <si>
    <t xml:space="preserve">February 2026 → April 2026  |  Team: Waleed, Momina, Muqadas</t>
  </si>
  <si>
    <t xml:space="preserve">STATUS LEGEND</t>
  </si>
  <si>
    <t xml:space="preserve">PHASE</t>
  </si>
  <si>
    <t xml:space="preserve">WEEKS</t>
  </si>
  <si>
    <t xml:space="preserve">DATES</t>
  </si>
  <si>
    <t xml:space="preserve">FOCUS</t>
  </si>
  <si>
    <t xml:space="preserve">STATUS</t>
  </si>
  <si>
    <t xml:space="preserve">✅ Done</t>
  </si>
  <si>
    <t xml:space="preserve">Phase 0 – Polish Act 1</t>
  </si>
  <si>
    <t xml:space="preserve">Wk 1-2</t>
  </si>
  <si>
    <t xml:space="preserve">Feb 19 – Mar 1</t>
  </si>
  <si>
    <t xml:space="preserve">Bug fixes, UI, save system</t>
  </si>
  <si>
    <t xml:space="preserve">❌ Not Started</t>
  </si>
  <si>
    <t xml:space="preserve">🔄 In Progress</t>
  </si>
  <si>
    <t xml:space="preserve">Phase 1 – Act 2 Build</t>
  </si>
  <si>
    <t xml:space="preserve">Wk 3-5</t>
  </si>
  <si>
    <t xml:space="preserve">Mar 2 – Mar 20</t>
  </si>
  <si>
    <t xml:space="preserve">Backrooms level + new ghost</t>
  </si>
  <si>
    <t xml:space="preserve">Phase 2 – Act 3 Build</t>
  </si>
  <si>
    <t xml:space="preserve">Wk 6-7</t>
  </si>
  <si>
    <t xml:space="preserve">Mar 21 – Apr 3</t>
  </si>
  <si>
    <t xml:space="preserve">Final area + boss scare</t>
  </si>
  <si>
    <t xml:space="preserve">⏸ Blocked</t>
  </si>
  <si>
    <t xml:space="preserve">Phase 3 – Integration</t>
  </si>
  <si>
    <t xml:space="preserve">Wk 8</t>
  </si>
  <si>
    <t xml:space="preserve">Apr 4 – Apr 10</t>
  </si>
  <si>
    <t xml:space="preserve">All acts connected, endings</t>
  </si>
  <si>
    <t xml:space="preserve">Phase 4 – Testing &amp; Submit</t>
  </si>
  <si>
    <t xml:space="preserve">Wk 9-10</t>
  </si>
  <si>
    <t xml:space="preserve">Apr 11 – Apr 25</t>
  </si>
  <si>
    <t xml:space="preserve">Playtesting, bug fix, submit</t>
  </si>
  <si>
    <t xml:space="preserve">🏆  KEY MILESTONES</t>
  </si>
  <si>
    <t xml:space="preserve">DATE</t>
  </si>
  <si>
    <t xml:space="preserve">MILESTONE DESCRIPTION</t>
  </si>
  <si>
    <t xml:space="preserve">Mar 1</t>
  </si>
  <si>
    <t xml:space="preserve">Act 1 fully polished, no critical bugs</t>
  </si>
  <si>
    <t xml:space="preserve">Mar 20</t>
  </si>
  <si>
    <t xml:space="preserve">Act 2 (Backrooms) playable end-to-end</t>
  </si>
  <si>
    <t xml:space="preserve">Apr 3</t>
  </si>
  <si>
    <t xml:space="preserve">Act 3 complete with boss jumpscare</t>
  </si>
  <si>
    <t xml:space="preserve">Apr 10</t>
  </si>
  <si>
    <t xml:space="preserve">Full game loop with multiple endings working</t>
  </si>
  <si>
    <t xml:space="preserve">Apr 18</t>
  </si>
  <si>
    <t xml:space="preserve">Final playtesting complete, no P1 bugs</t>
  </si>
  <si>
    <t xml:space="preserve">Apr 25</t>
  </si>
  <si>
    <t xml:space="preserve">Submission ready – build + documentation</t>
  </si>
  <si>
    <t xml:space="preserve">📊  PROGRESS TRACKER  (auto-calculated from Task Sheet)</t>
  </si>
  <si>
    <t xml:space="preserve">METRIC</t>
  </si>
  <si>
    <t xml:space="preserve">VALUE</t>
  </si>
  <si>
    <t xml:space="preserve">NOTES</t>
  </si>
  <si>
    <t xml:space="preserve">Total Tasks</t>
  </si>
  <si>
    <t xml:space="preserve">All tasks in tracker</t>
  </si>
  <si>
    <t xml:space="preserve">✅ Completed</t>
  </si>
  <si>
    <t xml:space="preserve">Auto-updates from Task sheet</t>
  </si>
  <si>
    <t xml:space="preserve">% Complete</t>
  </si>
  <si>
    <t xml:space="preserve">Days Until Deadline</t>
  </si>
  <si>
    <t xml:space="preserve">Target: Apr 25, 2026</t>
  </si>
  <si>
    <t xml:space="preserve">📅  WEEK-BY-WEEK DEVELOPMENT PLAN  |  SCHIZO SHADOWS FYP3</t>
  </si>
  <si>
    <t xml:space="preserve">WEEK</t>
  </si>
  <si>
    <t xml:space="preserve">GOALS / DELIVERABLES</t>
  </si>
  <si>
    <t xml:space="preserve">TASKS</t>
  </si>
  <si>
    <t xml:space="preserve">OWNER</t>
  </si>
  <si>
    <t xml:space="preserve">⚡  PHASE 0 – ACT 1 POLISH</t>
  </si>
  <si>
    <t xml:space="preserve">Week 1
Feb 19–23</t>
  </si>
  <si>
    <t xml:space="preserve">Fix all Act 1 bugs
Add Main Menu polish</t>
  </si>
  <si>
    <t xml:space="preserve">• Fix ghost clipping through doors
• Fix sanity UI alignment in VR
• Main menu scene polish
• Add settings (volume, turn type)
• Scene transition fade working</t>
  </si>
  <si>
    <t xml:space="preserve">All</t>
  </si>
  <si>
    <t xml:space="preserve">Week 2
Mar 1</t>
  </si>
  <si>
    <t xml:space="preserve">Save system + final Act 1 QA
Milestone: Act 1 LOCKED</t>
  </si>
  <si>
    <t xml:space="preserve">• PlayerPrefs save for settings
• Add credits screen
• Final Act 1 playthrough (no breaks)
• Fix any remaining P1 bugs
• ✅ ACT 1 MILESTONE</t>
  </si>
  <si>
    <t xml:space="preserve">Waleed</t>
  </si>
  <si>
    <t xml:space="preserve">⚡  PHASE 1 – ACT 2: BACKROOMS</t>
  </si>
  <si>
    <t xml:space="preserve">Week 3
Mar 2–8</t>
  </si>
  <si>
    <t xml:space="preserve">Build Backrooms level geometry
MemoryFragment system</t>
  </si>
  <si>
    <t xml:space="preserve">• Design &amp; block out Backrooms maze
• Add neon light flicker atmosphere
• Create MemoryFragment prefab
• Place 3 fragments in scene
• ExitDoor locks until all collected</t>
  </si>
  <si>
    <t xml:space="preserve">Momina</t>
  </si>
  <si>
    <t xml:space="preserve">Week 4
Mar 9–15</t>
  </si>
  <si>
    <t xml:space="preserve">New ghost for Act 2
Sanity tuning</t>
  </si>
  <si>
    <t xml:space="preserve">• Create Act 2 ghost (GhostHunter variant)
• Different hunt pattern (faster, no warning)
• Sanity drain zones in Backrooms
• HorrorAudioController – new ambient sounds
• VR interaction for memory fragments</t>
  </si>
  <si>
    <t xml:space="preserve">Muqadas</t>
  </si>
  <si>
    <t xml:space="preserve">Week 5
Mar 16–20</t>
  </si>
  <si>
    <t xml:space="preserve">Act 2 endings + integration
Milestone: Act 2 playable</t>
  </si>
  <si>
    <t xml:space="preserve">• Multiple endings logic (sanity based)
• SceneTransitionManager → Act 3
• Full Act 2 playthrough test
• Fix framerate &amp; performance
• ✅ ACT 2 MILESTONE</t>
  </si>
  <si>
    <t xml:space="preserve">⚡  PHASE 2 – ACT 3: FINALE</t>
  </si>
  <si>
    <t xml:space="preserve">Week 6
Mar 21–27</t>
  </si>
  <si>
    <t xml:space="preserve">Act 3 environment
Boss ghost system</t>
  </si>
  <si>
    <t xml:space="preserve">• Design final area (asylum/mind space)
• Boss ghost: multi-phase FSM
• Phase 1: stalking (like Act 1)
• Phase 2: teleporting short range
• Phase 3: all-out hunt – no escape</t>
  </si>
  <si>
    <t xml:space="preserve">Waleed + Momina</t>
  </si>
  <si>
    <t xml:space="preserve">Week 7
Mar 28–Apr 3</t>
  </si>
  <si>
    <t xml:space="preserve">Climax jumpscare + endings
Milestone: Act 3 complete</t>
  </si>
  <si>
    <t xml:space="preserve">• Final boss jumpscare sequence
• 2 endings: escape OR caught
• End credits sequence
• Full Act 3 playthrough
• ✅ ACT 3 MILESTONE</t>
  </si>
  <si>
    <t xml:space="preserve">⚡  PHASE 3 – INTEGRATION</t>
  </si>
  <si>
    <t xml:space="preserve">Week 8
Apr 4–10</t>
  </si>
  <si>
    <t xml:space="preserve">Stitch all 3 acts together
Milestone: Full game loop</t>
  </si>
  <si>
    <t xml:space="preserve">• Act 1 → 2 → 3 transition working
• Sanity carries across acts
• Consistent UI/UX across all scenes
• Settings persist game-wide
• Full playthrough: start to credits
• ✅ FULL GAME MILESTONE</t>
  </si>
  <si>
    <t xml:space="preserve">⚡  PHASE 4 – TESTING &amp; SUBMIT</t>
  </si>
  <si>
    <t xml:space="preserve">Week 9
Apr 11–17</t>
  </si>
  <si>
    <t xml:space="preserve">Playtesting sprint
Bug triage</t>
  </si>
  <si>
    <t xml:space="preserve">• 3 full playthroughs each teammate
• Log all bugs in Bug Tracker sheet
• Fix P1 (game-breaking) bugs
• Sound mixing pass
• VR comfort pass (no motion sickness)</t>
  </si>
  <si>
    <t xml:space="preserve">Week 10
Apr 18–25</t>
  </si>
  <si>
    <t xml:space="preserve">Final polish + SUBMISSION
Milestone: SUBMITTED ✅</t>
  </si>
  <si>
    <t xml:space="preserve">• Fix remaining P2 bugs
• Final build export (PC VR)
• Record gameplay demo video
• Update FYP documentation
• Submit to supervisor
• 🎉 DONE!</t>
  </si>
  <si>
    <t xml:space="preserve">📝  TASK TRACKER  |  SCHIZO SHADOWS FYP3</t>
  </si>
  <si>
    <t xml:space="preserve">#</t>
  </si>
  <si>
    <t xml:space="preserve">TASK</t>
  </si>
  <si>
    <t xml:space="preserve">PHASE / ACT</t>
  </si>
  <si>
    <t xml:space="preserve">PRIORITY</t>
  </si>
  <si>
    <t xml:space="preserve">  ── PHASE 0: ACT 1 POLISH ──</t>
  </si>
  <si>
    <t xml:space="preserve">Fix ghost clipping through locked doors</t>
  </si>
  <si>
    <t xml:space="preserve">Act 1</t>
  </si>
  <si>
    <t xml:space="preserve">Week 1</t>
  </si>
  <si>
    <t xml:space="preserve">🔴 P1 Critical</t>
  </si>
  <si>
    <t xml:space="preserve">Fix sanity UI slider alignment in VR headset</t>
  </si>
  <si>
    <t xml:space="preserve">🟠 P2 High</t>
  </si>
  <si>
    <t xml:space="preserve">Main menu UI polish – add logo, background art</t>
  </si>
  <si>
    <t xml:space="preserve">🟡 P3 Medium</t>
  </si>
  <si>
    <t xml:space="preserve">Settings menu – volume slider, turn type toggle</t>
  </si>
  <si>
    <t xml:space="preserve">Scene transition fade working (Act 1 → next)</t>
  </si>
  <si>
    <t xml:space="preserve">Save settings with PlayerPrefs</t>
  </si>
  <si>
    <t xml:space="preserve">Week 2</t>
  </si>
  <si>
    <t xml:space="preserve">Add credits screen</t>
  </si>
  <si>
    <t xml:space="preserve">🟢 P4 Low</t>
  </si>
  <si>
    <t xml:space="preserve">Full Act 1 playthrough QA – document all bugs</t>
  </si>
  <si>
    <t xml:space="preserve">ACT 1 MILESTONE SIGN-OFF ✅</t>
  </si>
  <si>
    <t xml:space="preserve">  ── PHASE 1: ACT 2 BACKROOMS ──</t>
  </si>
  <si>
    <t xml:space="preserve">Block out Backrooms maze level geometry in Unity</t>
  </si>
  <si>
    <t xml:space="preserve">Act 2</t>
  </si>
  <si>
    <t xml:space="preserve">Week 3</t>
  </si>
  <si>
    <t xml:space="preserve">Add neon flicker lights &amp; horror atmosphere lighting</t>
  </si>
  <si>
    <t xml:space="preserve">Create MemoryFragment prefab (VR grabbable + glow)</t>
  </si>
  <si>
    <t xml:space="preserve">Place 3 memory fragments in scene</t>
  </si>
  <si>
    <t xml:space="preserve">ExitDoor locks until all 3 fragments collected</t>
  </si>
  <si>
    <t xml:space="preserve">Create Act 2 ghost variant (GhostHunter – faster)</t>
  </si>
  <si>
    <t xml:space="preserve">Week 4</t>
  </si>
  <si>
    <t xml:space="preserve">No HuntWarning state – immediate hunt on sight</t>
  </si>
  <si>
    <t xml:space="preserve">Sanity drain zones placed in Backrooms corridors</t>
  </si>
  <si>
    <t xml:space="preserve">New ambient horror audio set for Backrooms</t>
  </si>
  <si>
    <t xml:space="preserve">VR interaction for memory fragment pickup</t>
  </si>
  <si>
    <t xml:space="preserve">Implement multiple endings based on sanity level</t>
  </si>
  <si>
    <t xml:space="preserve">Week 5</t>
  </si>
  <si>
    <t xml:space="preserve">SceneTransitionManager → Act 3 working</t>
  </si>
  <si>
    <t xml:space="preserve">Performance pass – maintain 72fps in VR</t>
  </si>
  <si>
    <t xml:space="preserve">ACT 2 MILESTONE SIGN-OFF ✅</t>
  </si>
  <si>
    <t xml:space="preserve">  ── PHASE 2: ACT 3 FINALE ──</t>
  </si>
  <si>
    <t xml:space="preserve">Design &amp; build final environment (asylum/mind space)</t>
  </si>
  <si>
    <t xml:space="preserve">Act 3</t>
  </si>
  <si>
    <t xml:space="preserve">Week 6</t>
  </si>
  <si>
    <t xml:space="preserve">Boss ghost FSM – Phase 1: Stalking (like Act 1 ghost)</t>
  </si>
  <si>
    <t xml:space="preserve">Boss ghost FSM – Phase 2: Short-range teleporting</t>
  </si>
  <si>
    <t xml:space="preserve">Boss ghost FSM – Phase 3: All-out hunt, no escape</t>
  </si>
  <si>
    <t xml:space="preserve">Sanity triggers boss phase transitions</t>
  </si>
  <si>
    <t xml:space="preserve">Final boss jumpscare sequence (extended version)</t>
  </si>
  <si>
    <t xml:space="preserve">Week 7</t>
  </si>
  <si>
    <t xml:space="preserve">Ending A: Player escapes – cut scene / credits</t>
  </si>
  <si>
    <t xml:space="preserve">Ending B: Player caught – unique game over</t>
  </si>
  <si>
    <t xml:space="preserve">End credits rolling sequence</t>
  </si>
  <si>
    <t xml:space="preserve">ACT 3 MILESTONE SIGN-OFF ✅</t>
  </si>
  <si>
    <t xml:space="preserve">  ── PHASE 3: INTEGRATION ──</t>
  </si>
  <si>
    <t xml:space="preserve">Act 1 → Act 2 → Act 3 scene flow working</t>
  </si>
  <si>
    <t xml:space="preserve">Integration</t>
  </si>
  <si>
    <t xml:space="preserve">Week 8</t>
  </si>
  <si>
    <t xml:space="preserve">Sanity value persists / resets correctly between acts</t>
  </si>
  <si>
    <t xml:space="preserve">Consistent HUD / UI across all 3 acts</t>
  </si>
  <si>
    <t xml:space="preserve">Settings persist across entire game session</t>
  </si>
  <si>
    <t xml:space="preserve">Full playthrough: main menu → credits</t>
  </si>
  <si>
    <t xml:space="preserve">FULL GAME LOOP MILESTONE ✅</t>
  </si>
  <si>
    <t xml:space="preserve">  ── PHASE 4: TESTING &amp; SUBMIT ──</t>
  </si>
  <si>
    <t xml:space="preserve">Playtesting round 1 – each member plays full game</t>
  </si>
  <si>
    <t xml:space="preserve">QA</t>
  </si>
  <si>
    <t xml:space="preserve">Week 9</t>
  </si>
  <si>
    <t xml:space="preserve">Log all bugs in Bug Tracker sheet</t>
  </si>
  <si>
    <t xml:space="preserve">Fix all P1 (game-breaking) bugs</t>
  </si>
  <si>
    <t xml:space="preserve">Sound mixing pass – balance ambient, SFX, music</t>
  </si>
  <si>
    <t xml:space="preserve">VR comfort pass – no motion sickness triggers</t>
  </si>
  <si>
    <t xml:space="preserve">Fix remaining P2 high-priority bugs</t>
  </si>
  <si>
    <t xml:space="preserve">Week 10</t>
  </si>
  <si>
    <t xml:space="preserve">Final build export for PC VR</t>
  </si>
  <si>
    <t xml:space="preserve">Record gameplay demo video (5-10 min)</t>
  </si>
  <si>
    <t xml:space="preserve">Update FYP3 documentation &amp; report</t>
  </si>
  <si>
    <t xml:space="preserve">SUBMIT TO SUPERVISOR 🎉</t>
  </si>
  <si>
    <t xml:space="preserve">🐛  BUG TRACKER  |  SCHIZO SHADOWS FYP3</t>
  </si>
  <si>
    <t xml:space="preserve">ACT</t>
  </si>
  <si>
    <t xml:space="preserve">BUG DESCRIPTION</t>
  </si>
  <si>
    <t xml:space="preserve">STEPS TO REPRODUCE</t>
  </si>
  <si>
    <t xml:space="preserve">ASSIGNED TO</t>
  </si>
  <si>
    <t xml:space="preserve">DATE FOUND</t>
  </si>
  <si>
    <t xml:space="preserve">✅  FEATURE CHECKLIST  |  SCHIZO SHADOWS FYP3</t>
  </si>
  <si>
    <t xml:space="preserve">FEATURE</t>
  </si>
  <si>
    <t xml:space="preserve">DONE?</t>
  </si>
  <si>
    <t xml:space="preserve">  ── CORE SYSTEMS ──</t>
  </si>
  <si>
    <t xml:space="preserve">Ghost AI (FSM – 6 states)</t>
  </si>
  <si>
    <t xml:space="preserve">All Acts</t>
  </si>
  <si>
    <t xml:space="preserve">✅</t>
  </si>
  <si>
    <t xml:space="preserve">Sanity System (drain / restore)</t>
  </si>
  <si>
    <t xml:space="preserve">VR Hand Physics</t>
  </si>
  <si>
    <t xml:space="preserve">Audio Manager (Singleton)</t>
  </si>
  <si>
    <t xml:space="preserve">Scene Transition with Fade</t>
  </si>
  <si>
    <t xml:space="preserve">Safe Room System</t>
  </si>
  <si>
    <t xml:space="preserve">Key &amp; Door Lock System</t>
  </si>
  <si>
    <t xml:space="preserve">Jumpscare Sequence</t>
  </si>
  <si>
    <t xml:space="preserve">Horror Ambient Audio</t>
  </si>
  <si>
    <t xml:space="preserve">Flicker Lights</t>
  </si>
  <si>
    <t xml:space="preserve">Readable Notes / Clues</t>
  </si>
  <si>
    <t xml:space="preserve">Main Menu</t>
  </si>
  <si>
    <t xml:space="preserve">Menu</t>
  </si>
  <si>
    <t xml:space="preserve">  ── ACT 2 FEATURES (TO BUILD) ──</t>
  </si>
  <si>
    <t xml:space="preserve">Backrooms Level Design</t>
  </si>
  <si>
    <t xml:space="preserve">❌</t>
  </si>
  <si>
    <t xml:space="preserve">MemoryFragment System (3 collectibles)</t>
  </si>
  <si>
    <t xml:space="preserve">ExitDoor Fragment-Lock</t>
  </si>
  <si>
    <t xml:space="preserve">Faster Ghost Variant (no warning)</t>
  </si>
  <si>
    <t xml:space="preserve">Multiple Endings (sanity-based)</t>
  </si>
  <si>
    <t xml:space="preserve">New Ambient Sound Pack</t>
  </si>
  <si>
    <t xml:space="preserve">  ── ACT 3 FEATURES (TO BUILD) ──</t>
  </si>
  <si>
    <t xml:space="preserve">Final Environment (Asylum)</t>
  </si>
  <si>
    <t xml:space="preserve">Boss Ghost – 3-Phase FSM</t>
  </si>
  <si>
    <t xml:space="preserve">Boss Ghost Teleport Mechanic</t>
  </si>
  <si>
    <t xml:space="preserve">Extended Boss Jumpscare</t>
  </si>
  <si>
    <t xml:space="preserve">Ending A: Escape Cut Scene</t>
  </si>
  <si>
    <t xml:space="preserve">Ending B: Caught Game Over</t>
  </si>
  <si>
    <t xml:space="preserve">Rolling End Credits</t>
  </si>
  <si>
    <t xml:space="preserve">  ── INTEGRATION &amp; POLISH ──</t>
  </si>
  <si>
    <t xml:space="preserve">Act 1 → 2 → 3 Flow</t>
  </si>
  <si>
    <t xml:space="preserve">Sanity Persistence Between Acts</t>
  </si>
  <si>
    <t xml:space="preserve">Consistent UI Across All Acts</t>
  </si>
  <si>
    <t xml:space="preserve">Settings Persist Game-Wide</t>
  </si>
  <si>
    <t xml:space="preserve">Performance: 72fps VR Target</t>
  </si>
  <si>
    <t xml:space="preserve">Sound Mixing Pass</t>
  </si>
  <si>
    <t xml:space="preserve">VR Comfort Pass</t>
  </si>
  <si>
    <t xml:space="preserve">Gameplay Demo Video</t>
  </si>
  <si>
    <t xml:space="preserve">Submit</t>
  </si>
  <si>
    <t xml:space="preserve">FYP Documentation Updated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</si>
</sst>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%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00BCD4"/>
      <name val="Arial"/>
      <family val="0"/>
      <charset val="1"/>
    </font>
    <font>
      <i val="true"/>
      <sz val="10"/>
      <color rgb="FFB0B0C8"/>
      <name val="Arial"/>
      <family val="0"/>
      <charset val="1"/>
    </font>
    <font>
      <b val="true"/>
      <sz val="10"/>
      <color rgb="FF00BCD4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B0B0C8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"/>
      <color rgb="FF00BCD4"/>
      <name val="Arial"/>
      <family val="0"/>
      <charset val="1"/>
    </font>
    <font>
      <sz val="9"/>
      <color rgb="FFFFFFFF"/>
      <name val="Arial"/>
      <family val="0"/>
      <charset val="1"/>
    </font>
    <font>
      <b val="true"/>
      <sz val="14"/>
      <color rgb="FF00BCD4"/>
      <name val="Arial"/>
      <family val="0"/>
      <charset val="1"/>
    </font>
    <font>
      <sz val="9"/>
      <color rgb="FF00BCD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8"/>
      <color rgb="FFFFFFFF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0D0D1A"/>
        <bgColor rgb="FF1A1A2E"/>
      </patternFill>
    </fill>
    <fill>
      <patternFill patternType="solid">
        <fgColor rgb="FF1E1E35"/>
        <bgColor rgb="FF1A1A2E"/>
      </patternFill>
    </fill>
    <fill>
      <patternFill patternType="solid">
        <fgColor rgb="FF2D1B69"/>
        <bgColor rgb="FF1E1E35"/>
      </patternFill>
    </fill>
    <fill>
      <patternFill patternType="solid">
        <fgColor rgb="FF27AE60"/>
        <bgColor rgb="FF008080"/>
      </patternFill>
    </fill>
    <fill>
      <patternFill patternType="solid">
        <fgColor rgb="FFE74C3C"/>
        <bgColor rgb="FFC0392B"/>
      </patternFill>
    </fill>
    <fill>
      <patternFill patternType="solid">
        <fgColor rgb="FFF39C12"/>
        <bgColor rgb="FFE67E22"/>
      </patternFill>
    </fill>
    <fill>
      <patternFill patternType="solid">
        <fgColor rgb="FF1A1A2E"/>
        <bgColor rgb="FF1E1E35"/>
      </patternFill>
    </fill>
    <fill>
      <patternFill patternType="solid">
        <fgColor rgb="FFE67E22"/>
        <bgColor rgb="FFF39C12"/>
      </patternFill>
    </fill>
    <fill>
      <patternFill patternType="solid">
        <fgColor rgb="FF7B2FBE"/>
        <bgColor rgb="FF993366"/>
      </patternFill>
    </fill>
    <fill>
      <patternFill patternType="solid">
        <fgColor rgb="FFC0392B"/>
        <bgColor rgb="FFE74C3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3A3A5C"/>
      </left>
      <right style="thin">
        <color rgb="FF3A3A5C"/>
      </right>
      <top style="thin">
        <color rgb="FF3A3A5C"/>
      </top>
      <bottom style="thin">
        <color rgb="FF3A3A5C"/>
      </bottom>
      <diagonal/>
    </border>
    <border diagonalUp="false" diagonalDown="false">
      <left style="thin">
        <color rgb="FF3A3A5C"/>
      </left>
      <right/>
      <top style="thin">
        <color rgb="FF3A3A5C"/>
      </top>
      <bottom style="thin">
        <color rgb="FF3A3A5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1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11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1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D0D1A"/>
      <rgbColor rgb="FF808000"/>
      <rgbColor rgb="FF800080"/>
      <rgbColor rgb="FF008080"/>
      <rgbColor rgb="FFB0B0C8"/>
      <rgbColor rgb="FF808080"/>
      <rgbColor rgb="FF9999FF"/>
      <rgbColor rgb="FF7B2FBE"/>
      <rgbColor rgb="FFFFFFCC"/>
      <rgbColor rgb="FFCCFFFF"/>
      <rgbColor rgb="FF660066"/>
      <rgbColor rgb="FFE74C3C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CD4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39C12"/>
      <rgbColor rgb="FFE67E22"/>
      <rgbColor rgb="FF666699"/>
      <rgbColor rgb="FF969696"/>
      <rgbColor rgb="FF003366"/>
      <rgbColor rgb="FF27AE60"/>
      <rgbColor rgb="FF1A1A2E"/>
      <rgbColor rgb="FF1E1E35"/>
      <rgbColor rgb="FFC0392B"/>
      <rgbColor rgb="FF993366"/>
      <rgbColor rgb="FF2D1B69"/>
      <rgbColor rgb="FF3A3A5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B2FBE"/>
    <pageSetUpPr fitToPage="false"/>
  </sheetPr>
  <dimension ref="A1:I5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8"/>
    <col collapsed="false" customWidth="true" hidden="false" outlineLevel="0" max="6" min="3" style="0" width="14"/>
    <col collapsed="false" customWidth="true" hidden="false" outlineLevel="0" max="8" min="7" style="0" width="18"/>
    <col collapsed="false" customWidth="true" hidden="false" outlineLevel="0" max="9" min="9" style="0" width="2"/>
  </cols>
  <sheetData>
    <row r="1" customFormat="false" ht="21.7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</row>
    <row r="2" customFormat="false" ht="21.75" hidden="false" customHeight="true" outlineLevel="0" collapsed="false">
      <c r="A2" s="1"/>
      <c r="B2" s="2" t="s">
        <v>0</v>
      </c>
      <c r="C2" s="2"/>
      <c r="D2" s="2"/>
      <c r="E2" s="2"/>
      <c r="F2" s="2"/>
      <c r="G2" s="2"/>
      <c r="H2" s="2"/>
      <c r="I2" s="1"/>
    </row>
    <row r="3" customFormat="false" ht="21.75" hidden="false" customHeight="true" outlineLevel="0" collapsed="false">
      <c r="A3" s="1"/>
      <c r="B3" s="3" t="s">
        <v>1</v>
      </c>
      <c r="C3" s="3"/>
      <c r="D3" s="3"/>
      <c r="E3" s="3"/>
      <c r="F3" s="3"/>
      <c r="G3" s="3"/>
      <c r="H3" s="3"/>
      <c r="I3" s="1"/>
    </row>
    <row r="4" customFormat="false" ht="21.75" hidden="false" customHeight="true" outlineLevel="0" collapsed="false"/>
    <row r="5" customFormat="false" ht="21.75" hidden="false" customHeight="true" outlineLevel="0" collapsed="false">
      <c r="A5" s="4"/>
      <c r="B5" s="5" t="s">
        <v>2</v>
      </c>
      <c r="C5" s="5"/>
      <c r="D5" s="6" t="s">
        <v>3</v>
      </c>
      <c r="E5" s="6" t="s">
        <v>4</v>
      </c>
      <c r="F5" s="6" t="s">
        <v>5</v>
      </c>
      <c r="G5" s="6" t="s">
        <v>6</v>
      </c>
      <c r="H5" s="6" t="s">
        <v>7</v>
      </c>
      <c r="I5" s="4"/>
    </row>
    <row r="6" customFormat="false" ht="21.75" hidden="false" customHeight="true" outlineLevel="0" collapsed="false">
      <c r="B6" s="7" t="s">
        <v>8</v>
      </c>
      <c r="D6" s="8" t="s">
        <v>9</v>
      </c>
      <c r="E6" s="9" t="s">
        <v>10</v>
      </c>
      <c r="F6" s="9" t="s">
        <v>11</v>
      </c>
      <c r="G6" s="10" t="s">
        <v>12</v>
      </c>
      <c r="H6" s="11" t="s">
        <v>13</v>
      </c>
    </row>
    <row r="7" customFormat="false" ht="21.75" hidden="false" customHeight="true" outlineLevel="0" collapsed="false">
      <c r="B7" s="12" t="s">
        <v>14</v>
      </c>
      <c r="D7" s="13" t="s">
        <v>15</v>
      </c>
      <c r="E7" s="14" t="s">
        <v>16</v>
      </c>
      <c r="F7" s="14" t="s">
        <v>17</v>
      </c>
      <c r="G7" s="15" t="s">
        <v>18</v>
      </c>
      <c r="H7" s="11" t="s">
        <v>13</v>
      </c>
    </row>
    <row r="8" customFormat="false" ht="21.75" hidden="false" customHeight="true" outlineLevel="0" collapsed="false">
      <c r="B8" s="11" t="s">
        <v>13</v>
      </c>
      <c r="D8" s="8" t="s">
        <v>19</v>
      </c>
      <c r="E8" s="9" t="s">
        <v>20</v>
      </c>
      <c r="F8" s="9" t="s">
        <v>21</v>
      </c>
      <c r="G8" s="10" t="s">
        <v>22</v>
      </c>
      <c r="H8" s="11" t="s">
        <v>13</v>
      </c>
    </row>
    <row r="9" customFormat="false" ht="21.75" hidden="false" customHeight="true" outlineLevel="0" collapsed="false">
      <c r="B9" s="16" t="s">
        <v>23</v>
      </c>
      <c r="D9" s="13" t="s">
        <v>24</v>
      </c>
      <c r="E9" s="14" t="s">
        <v>25</v>
      </c>
      <c r="F9" s="14" t="s">
        <v>26</v>
      </c>
      <c r="G9" s="15" t="s">
        <v>27</v>
      </c>
      <c r="H9" s="11" t="s">
        <v>13</v>
      </c>
    </row>
    <row r="10" customFormat="false" ht="21.75" hidden="false" customHeight="true" outlineLevel="0" collapsed="false">
      <c r="D10" s="8" t="s">
        <v>28</v>
      </c>
      <c r="E10" s="9" t="s">
        <v>29</v>
      </c>
      <c r="F10" s="9" t="s">
        <v>30</v>
      </c>
      <c r="G10" s="10" t="s">
        <v>31</v>
      </c>
      <c r="H10" s="11" t="s">
        <v>13</v>
      </c>
    </row>
    <row r="11" customFormat="false" ht="21.75" hidden="false" customHeight="true" outlineLevel="0" collapsed="false"/>
    <row r="12" customFormat="false" ht="21.75" hidden="false" customHeight="true" outlineLevel="0" collapsed="false"/>
    <row r="13" customFormat="false" ht="21.75" hidden="false" customHeight="true" outlineLevel="0" collapsed="false">
      <c r="B13" s="17" t="s">
        <v>32</v>
      </c>
      <c r="C13" s="17"/>
      <c r="D13" s="17"/>
      <c r="E13" s="17"/>
      <c r="F13" s="17"/>
      <c r="G13" s="17"/>
      <c r="H13" s="17"/>
    </row>
    <row r="14" customFormat="false" ht="21.75" hidden="false" customHeight="true" outlineLevel="0" collapsed="false">
      <c r="B14" s="18" t="s">
        <v>33</v>
      </c>
      <c r="C14" s="19" t="s">
        <v>34</v>
      </c>
      <c r="D14" s="19"/>
      <c r="E14" s="19"/>
      <c r="F14" s="19"/>
      <c r="G14" s="19"/>
      <c r="H14" s="19"/>
    </row>
    <row r="15" customFormat="false" ht="21.75" hidden="false" customHeight="true" outlineLevel="0" collapsed="false">
      <c r="B15" s="20" t="s">
        <v>35</v>
      </c>
      <c r="C15" s="21" t="s">
        <v>36</v>
      </c>
      <c r="D15" s="21"/>
      <c r="E15" s="21"/>
      <c r="F15" s="21"/>
      <c r="G15" s="21"/>
      <c r="H15" s="21"/>
    </row>
    <row r="16" customFormat="false" ht="21.75" hidden="false" customHeight="true" outlineLevel="0" collapsed="false">
      <c r="B16" s="22" t="s">
        <v>37</v>
      </c>
      <c r="C16" s="23" t="s">
        <v>38</v>
      </c>
      <c r="D16" s="23"/>
      <c r="E16" s="23"/>
      <c r="F16" s="23"/>
      <c r="G16" s="23"/>
      <c r="H16" s="23"/>
    </row>
    <row r="17" customFormat="false" ht="21.75" hidden="false" customHeight="true" outlineLevel="0" collapsed="false">
      <c r="B17" s="20" t="s">
        <v>39</v>
      </c>
      <c r="C17" s="21" t="s">
        <v>40</v>
      </c>
      <c r="D17" s="21"/>
      <c r="E17" s="21"/>
      <c r="F17" s="21"/>
      <c r="G17" s="21"/>
      <c r="H17" s="21"/>
    </row>
    <row r="18" customFormat="false" ht="21.75" hidden="false" customHeight="true" outlineLevel="0" collapsed="false">
      <c r="B18" s="22" t="s">
        <v>41</v>
      </c>
      <c r="C18" s="23" t="s">
        <v>42</v>
      </c>
      <c r="D18" s="23"/>
      <c r="E18" s="23"/>
      <c r="F18" s="23"/>
      <c r="G18" s="23"/>
      <c r="H18" s="23"/>
    </row>
    <row r="19" customFormat="false" ht="21.75" hidden="false" customHeight="true" outlineLevel="0" collapsed="false">
      <c r="B19" s="20" t="s">
        <v>43</v>
      </c>
      <c r="C19" s="21" t="s">
        <v>44</v>
      </c>
      <c r="D19" s="21"/>
      <c r="E19" s="21"/>
      <c r="F19" s="21"/>
      <c r="G19" s="21"/>
      <c r="H19" s="21"/>
    </row>
    <row r="20" customFormat="false" ht="21.75" hidden="false" customHeight="true" outlineLevel="0" collapsed="false">
      <c r="B20" s="22" t="s">
        <v>45</v>
      </c>
      <c r="C20" s="23" t="s">
        <v>46</v>
      </c>
      <c r="D20" s="23"/>
      <c r="E20" s="23"/>
      <c r="F20" s="23"/>
      <c r="G20" s="23"/>
      <c r="H20" s="23"/>
    </row>
    <row r="21" customFormat="false" ht="21.75" hidden="false" customHeight="true" outlineLevel="0" collapsed="false"/>
    <row r="22" customFormat="false" ht="21.75" hidden="false" customHeight="true" outlineLevel="0" collapsed="false">
      <c r="B22" s="17" t="s">
        <v>47</v>
      </c>
      <c r="C22" s="17"/>
      <c r="D22" s="17"/>
      <c r="E22" s="17"/>
      <c r="F22" s="17"/>
      <c r="G22" s="17"/>
      <c r="H22" s="17"/>
    </row>
    <row r="23" customFormat="false" ht="21.75" hidden="false" customHeight="true" outlineLevel="0" collapsed="false">
      <c r="B23" s="18" t="s">
        <v>48</v>
      </c>
      <c r="C23" s="18" t="s">
        <v>49</v>
      </c>
      <c r="D23" s="19" t="s">
        <v>50</v>
      </c>
      <c r="E23" s="19"/>
      <c r="F23" s="19"/>
      <c r="G23" s="19"/>
      <c r="H23" s="19"/>
    </row>
    <row r="24" customFormat="false" ht="21.75" hidden="false" customHeight="true" outlineLevel="0" collapsed="false">
      <c r="B24" s="24" t="s">
        <v>51</v>
      </c>
      <c r="C24" s="25" t="n">
        <f aca="false">COUNTA('📝 Task Tracker'!B5:B200)-COUNTBLANK('📝 Task Tracker'!B5:B200)</f>
        <v>-90</v>
      </c>
      <c r="D24" s="26" t="s">
        <v>52</v>
      </c>
      <c r="E24" s="26"/>
      <c r="F24" s="26"/>
      <c r="G24" s="26"/>
      <c r="H24" s="26"/>
    </row>
    <row r="25" customFormat="false" ht="21.75" hidden="false" customHeight="true" outlineLevel="0" collapsed="false">
      <c r="B25" s="27" t="s">
        <v>53</v>
      </c>
      <c r="C25" s="28" t="n">
        <f aca="false">COUNTIF('📝 Task Tracker'!F5:F200,"✅ Done")</f>
        <v>0</v>
      </c>
      <c r="D25" s="29" t="s">
        <v>54</v>
      </c>
      <c r="E25" s="29"/>
      <c r="F25" s="29"/>
      <c r="G25" s="29"/>
      <c r="H25" s="29"/>
    </row>
    <row r="26" customFormat="false" ht="21.75" hidden="false" customHeight="true" outlineLevel="0" collapsed="false">
      <c r="B26" s="24" t="s">
        <v>14</v>
      </c>
      <c r="C26" s="25" t="n">
        <f aca="false">COUNTIF('📝 Task Tracker'!F5:F200,"🔄 In Progress")</f>
        <v>0</v>
      </c>
      <c r="D26" s="26"/>
      <c r="E26" s="26"/>
      <c r="F26" s="26"/>
      <c r="G26" s="26"/>
      <c r="H26" s="26"/>
    </row>
    <row r="27" customFormat="false" ht="21.75" hidden="false" customHeight="true" outlineLevel="0" collapsed="false">
      <c r="B27" s="27" t="s">
        <v>13</v>
      </c>
      <c r="C27" s="28" t="n">
        <f aca="false">COUNTIF('📝 Task Tracker'!F5:F200,"❌ Not Started")</f>
        <v>0</v>
      </c>
      <c r="D27" s="29"/>
      <c r="E27" s="29"/>
      <c r="F27" s="29"/>
      <c r="G27" s="29"/>
      <c r="H27" s="29"/>
    </row>
    <row r="28" customFormat="false" ht="21.75" hidden="false" customHeight="true" outlineLevel="0" collapsed="false">
      <c r="B28" s="24" t="s">
        <v>55</v>
      </c>
      <c r="C28" s="30" t="n">
        <f aca="false">IFERROR(COUNTIF('📝 Task Tracker'!G5:G200,"✅ Done")/COUNTA('📝 Task Tracker'!B5:B200),0)</f>
        <v>0</v>
      </c>
      <c r="D28" s="26"/>
      <c r="E28" s="26"/>
      <c r="F28" s="26"/>
      <c r="G28" s="26"/>
      <c r="H28" s="26"/>
    </row>
    <row r="29" customFormat="false" ht="21.75" hidden="false" customHeight="true" outlineLevel="0" collapsed="false">
      <c r="B29" s="27" t="s">
        <v>56</v>
      </c>
      <c r="C29" s="28" t="n">
        <f aca="true">DATE(2026,4,25)-TODAY()</f>
        <v>65</v>
      </c>
      <c r="D29" s="29" t="s">
        <v>57</v>
      </c>
      <c r="E29" s="29"/>
      <c r="F29" s="29"/>
      <c r="G29" s="29"/>
      <c r="H29" s="29"/>
    </row>
    <row r="30" customFormat="false" ht="21.75" hidden="false" customHeight="true" outlineLevel="0" collapsed="false"/>
    <row r="31" customFormat="false" ht="21.75" hidden="false" customHeight="true" outlineLevel="0" collapsed="false"/>
    <row r="32" customFormat="false" ht="21.75" hidden="false" customHeight="true" outlineLevel="0" collapsed="false"/>
    <row r="33" customFormat="false" ht="21.75" hidden="false" customHeight="true" outlineLevel="0" collapsed="false"/>
    <row r="34" customFormat="false" ht="21.75" hidden="false" customHeight="true" outlineLevel="0" collapsed="false"/>
    <row r="35" customFormat="false" ht="21.75" hidden="false" customHeight="true" outlineLevel="0" collapsed="false"/>
    <row r="36" customFormat="false" ht="21.75" hidden="false" customHeight="true" outlineLevel="0" collapsed="false"/>
    <row r="37" customFormat="false" ht="21.75" hidden="false" customHeight="true" outlineLevel="0" collapsed="false"/>
    <row r="38" customFormat="false" ht="21.75" hidden="false" customHeight="true" outlineLevel="0" collapsed="false"/>
    <row r="39" customFormat="false" ht="21.75" hidden="false" customHeight="true" outlineLevel="0" collapsed="false"/>
    <row r="40" customFormat="false" ht="21.75" hidden="false" customHeight="true" outlineLevel="0" collapsed="false"/>
    <row r="41" customFormat="false" ht="21.75" hidden="false" customHeight="true" outlineLevel="0" collapsed="false"/>
    <row r="42" customFormat="false" ht="21.75" hidden="false" customHeight="true" outlineLevel="0" collapsed="false"/>
    <row r="43" customFormat="false" ht="21.75" hidden="false" customHeight="true" outlineLevel="0" collapsed="false"/>
    <row r="44" customFormat="false" ht="21.75" hidden="false" customHeight="true" outlineLevel="0" collapsed="false"/>
    <row r="45" customFormat="false" ht="21.75" hidden="false" customHeight="true" outlineLevel="0" collapsed="false"/>
    <row r="46" customFormat="false" ht="21.75" hidden="false" customHeight="true" outlineLevel="0" collapsed="false"/>
    <row r="47" customFormat="false" ht="21.75" hidden="false" customHeight="true" outlineLevel="0" collapsed="false"/>
    <row r="48" customFormat="false" ht="21.75" hidden="false" customHeight="true" outlineLevel="0" collapsed="false"/>
    <row r="49" customFormat="false" ht="21.75" hidden="false" customHeight="true" outlineLevel="0" collapsed="false"/>
    <row r="50" customFormat="false" ht="21.75" hidden="false" customHeight="true" outlineLevel="0" collapsed="false"/>
    <row r="51" customFormat="false" ht="21.75" hidden="false" customHeight="true" outlineLevel="0" collapsed="false"/>
    <row r="52" customFormat="false" ht="21.75" hidden="false" customHeight="true" outlineLevel="0" collapsed="false"/>
    <row r="53" customFormat="false" ht="21.75" hidden="false" customHeight="true" outlineLevel="0" collapsed="false"/>
    <row r="54" customFormat="false" ht="21.75" hidden="false" customHeight="true" outlineLevel="0" collapsed="false"/>
    <row r="55" customFormat="false" ht="21.75" hidden="false" customHeight="true" outlineLevel="0" collapsed="false"/>
    <row r="56" customFormat="false" ht="21.75" hidden="false" customHeight="true" outlineLevel="0" collapsed="false"/>
    <row r="57" customFormat="false" ht="21.75" hidden="false" customHeight="true" outlineLevel="0" collapsed="false"/>
    <row r="58" customFormat="false" ht="21.75" hidden="false" customHeight="true" outlineLevel="0" collapsed="false"/>
    <row r="59" customFormat="false" ht="21.75" hidden="false" customHeight="true" outlineLevel="0" collapsed="false"/>
  </sheetData>
  <mergeCells count="19">
    <mergeCell ref="B2:H2"/>
    <mergeCell ref="B3:H3"/>
    <mergeCell ref="B5:C5"/>
    <mergeCell ref="B13:H13"/>
    <mergeCell ref="C14:H14"/>
    <mergeCell ref="C15:H15"/>
    <mergeCell ref="C16:H16"/>
    <mergeCell ref="C17:H17"/>
    <mergeCell ref="C18:H18"/>
    <mergeCell ref="C19:H19"/>
    <mergeCell ref="C20:H20"/>
    <mergeCell ref="B22:H22"/>
    <mergeCell ref="D23:H23"/>
    <mergeCell ref="D24:H24"/>
    <mergeCell ref="D25:H25"/>
    <mergeCell ref="D26:H26"/>
    <mergeCell ref="D27:H27"/>
    <mergeCell ref="D28:H28"/>
    <mergeCell ref="D29:H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392B"/>
    <pageSetUpPr fitToPage="false"/>
  </sheetPr>
  <dimension ref="A1:G1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0"/>
    <col collapsed="false" customWidth="true" hidden="false" outlineLevel="0" max="4" min="3" style="0" width="30"/>
    <col collapsed="false" customWidth="true" hidden="false" outlineLevel="0" max="6" min="5" style="0" width="14"/>
    <col collapsed="false" customWidth="true" hidden="false" outlineLevel="0" max="7" min="7" style="0" width="2"/>
  </cols>
  <sheetData>
    <row r="1" customFormat="false" ht="21.75" hidden="false" customHeight="true" outlineLevel="0" collapsed="false">
      <c r="A1" s="1"/>
      <c r="B1" s="31" t="s">
        <v>58</v>
      </c>
      <c r="C1" s="31"/>
      <c r="D1" s="31"/>
      <c r="E1" s="31"/>
      <c r="F1" s="31"/>
      <c r="G1" s="1"/>
    </row>
    <row r="2" customFormat="false" ht="21.75" hidden="false" customHeight="true" outlineLevel="0" collapsed="false"/>
    <row r="3" customFormat="false" ht="21.75" hidden="false" customHeight="true" outlineLevel="0" collapsed="false">
      <c r="B3" s="6" t="s">
        <v>59</v>
      </c>
      <c r="C3" s="6" t="s">
        <v>60</v>
      </c>
      <c r="D3" s="6" t="s">
        <v>61</v>
      </c>
      <c r="E3" s="6" t="s">
        <v>62</v>
      </c>
      <c r="F3" s="6" t="s">
        <v>7</v>
      </c>
    </row>
    <row r="4" customFormat="false" ht="25.5" hidden="false" customHeight="true" outlineLevel="0" collapsed="false">
      <c r="A4" s="32"/>
      <c r="B4" s="33" t="s">
        <v>63</v>
      </c>
      <c r="C4" s="33"/>
      <c r="D4" s="33"/>
      <c r="E4" s="33"/>
      <c r="F4" s="33"/>
      <c r="G4" s="32"/>
    </row>
    <row r="5" customFormat="false" ht="64.5" hidden="false" customHeight="true" outlineLevel="0" collapsed="false">
      <c r="B5" s="18" t="s">
        <v>64</v>
      </c>
      <c r="C5" s="27" t="s">
        <v>65</v>
      </c>
      <c r="D5" s="15" t="s">
        <v>66</v>
      </c>
      <c r="E5" s="34" t="s">
        <v>67</v>
      </c>
      <c r="F5" s="11" t="s">
        <v>13</v>
      </c>
    </row>
    <row r="6" customFormat="false" ht="64.5" hidden="false" customHeight="true" outlineLevel="0" collapsed="false">
      <c r="B6" s="18" t="s">
        <v>68</v>
      </c>
      <c r="C6" s="24" t="s">
        <v>69</v>
      </c>
      <c r="D6" s="10" t="s">
        <v>70</v>
      </c>
      <c r="E6" s="35" t="s">
        <v>71</v>
      </c>
      <c r="F6" s="11" t="s">
        <v>13</v>
      </c>
    </row>
    <row r="7" customFormat="false" ht="25.5" hidden="false" customHeight="true" outlineLevel="0" collapsed="false">
      <c r="A7" s="32"/>
      <c r="B7" s="33" t="s">
        <v>72</v>
      </c>
      <c r="C7" s="33"/>
      <c r="D7" s="33"/>
      <c r="E7" s="33"/>
      <c r="F7" s="33"/>
      <c r="G7" s="32"/>
    </row>
    <row r="8" customFormat="false" ht="64.5" hidden="false" customHeight="true" outlineLevel="0" collapsed="false">
      <c r="B8" s="18" t="s">
        <v>73</v>
      </c>
      <c r="C8" s="24" t="s">
        <v>74</v>
      </c>
      <c r="D8" s="10" t="s">
        <v>75</v>
      </c>
      <c r="E8" s="35" t="s">
        <v>76</v>
      </c>
      <c r="F8" s="11" t="s">
        <v>13</v>
      </c>
    </row>
    <row r="9" customFormat="false" ht="64.5" hidden="false" customHeight="true" outlineLevel="0" collapsed="false">
      <c r="B9" s="18" t="s">
        <v>77</v>
      </c>
      <c r="C9" s="27" t="s">
        <v>78</v>
      </c>
      <c r="D9" s="15" t="s">
        <v>79</v>
      </c>
      <c r="E9" s="34" t="s">
        <v>80</v>
      </c>
      <c r="F9" s="11" t="s">
        <v>13</v>
      </c>
    </row>
    <row r="10" customFormat="false" ht="64.5" hidden="false" customHeight="true" outlineLevel="0" collapsed="false">
      <c r="B10" s="18" t="s">
        <v>81</v>
      </c>
      <c r="C10" s="24" t="s">
        <v>82</v>
      </c>
      <c r="D10" s="10" t="s">
        <v>83</v>
      </c>
      <c r="E10" s="35" t="s">
        <v>67</v>
      </c>
      <c r="F10" s="11" t="s">
        <v>13</v>
      </c>
    </row>
    <row r="11" customFormat="false" ht="25.5" hidden="false" customHeight="true" outlineLevel="0" collapsed="false">
      <c r="A11" s="32"/>
      <c r="B11" s="33" t="s">
        <v>84</v>
      </c>
      <c r="C11" s="33"/>
      <c r="D11" s="33"/>
      <c r="E11" s="33"/>
      <c r="F11" s="33"/>
      <c r="G11" s="32"/>
    </row>
    <row r="12" customFormat="false" ht="64.5" hidden="false" customHeight="true" outlineLevel="0" collapsed="false">
      <c r="B12" s="18" t="s">
        <v>85</v>
      </c>
      <c r="C12" s="24" t="s">
        <v>86</v>
      </c>
      <c r="D12" s="10" t="s">
        <v>87</v>
      </c>
      <c r="E12" s="35" t="s">
        <v>88</v>
      </c>
      <c r="F12" s="11" t="s">
        <v>13</v>
      </c>
    </row>
    <row r="13" customFormat="false" ht="64.5" hidden="false" customHeight="true" outlineLevel="0" collapsed="false">
      <c r="B13" s="18" t="s">
        <v>89</v>
      </c>
      <c r="C13" s="27" t="s">
        <v>90</v>
      </c>
      <c r="D13" s="15" t="s">
        <v>91</v>
      </c>
      <c r="E13" s="34" t="s">
        <v>80</v>
      </c>
      <c r="F13" s="11" t="s">
        <v>13</v>
      </c>
    </row>
    <row r="14" customFormat="false" ht="25.5" hidden="false" customHeight="true" outlineLevel="0" collapsed="false">
      <c r="A14" s="32"/>
      <c r="B14" s="33" t="s">
        <v>92</v>
      </c>
      <c r="C14" s="33"/>
      <c r="D14" s="33"/>
      <c r="E14" s="33"/>
      <c r="F14" s="33"/>
      <c r="G14" s="32"/>
    </row>
    <row r="15" customFormat="false" ht="64.5" hidden="false" customHeight="true" outlineLevel="0" collapsed="false">
      <c r="B15" s="18" t="s">
        <v>93</v>
      </c>
      <c r="C15" s="27" t="s">
        <v>94</v>
      </c>
      <c r="D15" s="15" t="s">
        <v>95</v>
      </c>
      <c r="E15" s="34" t="s">
        <v>67</v>
      </c>
      <c r="F15" s="11" t="s">
        <v>13</v>
      </c>
    </row>
    <row r="16" customFormat="false" ht="25.5" hidden="false" customHeight="true" outlineLevel="0" collapsed="false">
      <c r="A16" s="32"/>
      <c r="B16" s="33" t="s">
        <v>96</v>
      </c>
      <c r="C16" s="33"/>
      <c r="D16" s="33"/>
      <c r="E16" s="33"/>
      <c r="F16" s="33"/>
      <c r="G16" s="32"/>
    </row>
    <row r="17" customFormat="false" ht="64.5" hidden="false" customHeight="true" outlineLevel="0" collapsed="false">
      <c r="B17" s="18" t="s">
        <v>97</v>
      </c>
      <c r="C17" s="27" t="s">
        <v>98</v>
      </c>
      <c r="D17" s="15" t="s">
        <v>99</v>
      </c>
      <c r="E17" s="34" t="s">
        <v>67</v>
      </c>
      <c r="F17" s="11" t="s">
        <v>13</v>
      </c>
    </row>
    <row r="18" customFormat="false" ht="64.5" hidden="false" customHeight="true" outlineLevel="0" collapsed="false">
      <c r="B18" s="18" t="s">
        <v>100</v>
      </c>
      <c r="C18" s="24" t="s">
        <v>101</v>
      </c>
      <c r="D18" s="10" t="s">
        <v>102</v>
      </c>
      <c r="E18" s="35" t="s">
        <v>67</v>
      </c>
      <c r="F18" s="11" t="s">
        <v>13</v>
      </c>
    </row>
    <row r="19" customFormat="false" ht="21.75" hidden="false" customHeight="true" outlineLevel="0" collapsed="false"/>
    <row r="20" customFormat="false" ht="21.75" hidden="false" customHeight="true" outlineLevel="0" collapsed="false"/>
    <row r="21" customFormat="false" ht="21.75" hidden="false" customHeight="true" outlineLevel="0" collapsed="false"/>
    <row r="22" customFormat="false" ht="21.75" hidden="false" customHeight="true" outlineLevel="0" collapsed="false"/>
    <row r="23" customFormat="false" ht="21.75" hidden="false" customHeight="true" outlineLevel="0" collapsed="false"/>
    <row r="24" customFormat="false" ht="21.75" hidden="false" customHeight="true" outlineLevel="0" collapsed="false"/>
    <row r="25" customFormat="false" ht="21.75" hidden="false" customHeight="true" outlineLevel="0" collapsed="false"/>
    <row r="26" customFormat="false" ht="21.75" hidden="false" customHeight="true" outlineLevel="0" collapsed="false"/>
    <row r="27" customFormat="false" ht="21.75" hidden="false" customHeight="true" outlineLevel="0" collapsed="false"/>
    <row r="28" customFormat="false" ht="21.75" hidden="false" customHeight="true" outlineLevel="0" collapsed="false"/>
    <row r="29" customFormat="false" ht="21.75" hidden="false" customHeight="true" outlineLevel="0" collapsed="false"/>
    <row r="30" customFormat="false" ht="21.75" hidden="false" customHeight="true" outlineLevel="0" collapsed="false"/>
    <row r="31" customFormat="false" ht="21.75" hidden="false" customHeight="true" outlineLevel="0" collapsed="false"/>
    <row r="32" customFormat="false" ht="21.75" hidden="false" customHeight="true" outlineLevel="0" collapsed="false"/>
    <row r="33" customFormat="false" ht="21.75" hidden="false" customHeight="true" outlineLevel="0" collapsed="false"/>
    <row r="34" customFormat="false" ht="21.75" hidden="false" customHeight="true" outlineLevel="0" collapsed="false"/>
    <row r="35" customFormat="false" ht="21.75" hidden="false" customHeight="true" outlineLevel="0" collapsed="false"/>
    <row r="36" customFormat="false" ht="21.75" hidden="false" customHeight="true" outlineLevel="0" collapsed="false"/>
    <row r="37" customFormat="false" ht="21.75" hidden="false" customHeight="true" outlineLevel="0" collapsed="false"/>
    <row r="38" customFormat="false" ht="21.75" hidden="false" customHeight="true" outlineLevel="0" collapsed="false"/>
    <row r="39" customFormat="false" ht="21.75" hidden="false" customHeight="true" outlineLevel="0" collapsed="false"/>
    <row r="40" customFormat="false" ht="21.75" hidden="false" customHeight="true" outlineLevel="0" collapsed="false"/>
    <row r="41" customFormat="false" ht="21.75" hidden="false" customHeight="true" outlineLevel="0" collapsed="false"/>
    <row r="42" customFormat="false" ht="21.75" hidden="false" customHeight="true" outlineLevel="0" collapsed="false"/>
    <row r="43" customFormat="false" ht="21.75" hidden="false" customHeight="true" outlineLevel="0" collapsed="false"/>
    <row r="44" customFormat="false" ht="21.75" hidden="false" customHeight="true" outlineLevel="0" collapsed="false"/>
    <row r="45" customFormat="false" ht="21.75" hidden="false" customHeight="true" outlineLevel="0" collapsed="false"/>
    <row r="46" customFormat="false" ht="21.75" hidden="false" customHeight="true" outlineLevel="0" collapsed="false"/>
    <row r="47" customFormat="false" ht="21.75" hidden="false" customHeight="true" outlineLevel="0" collapsed="false"/>
    <row r="48" customFormat="false" ht="21.75" hidden="false" customHeight="true" outlineLevel="0" collapsed="false"/>
    <row r="49" customFormat="false" ht="21.75" hidden="false" customHeight="true" outlineLevel="0" collapsed="false"/>
    <row r="50" customFormat="false" ht="21.75" hidden="false" customHeight="true" outlineLevel="0" collapsed="false"/>
    <row r="51" customFormat="false" ht="21.75" hidden="false" customHeight="true" outlineLevel="0" collapsed="false"/>
    <row r="52" customFormat="false" ht="21.75" hidden="false" customHeight="true" outlineLevel="0" collapsed="false"/>
    <row r="53" customFormat="false" ht="21.75" hidden="false" customHeight="true" outlineLevel="0" collapsed="false"/>
    <row r="54" customFormat="false" ht="21.75" hidden="false" customHeight="true" outlineLevel="0" collapsed="false"/>
    <row r="55" customFormat="false" ht="21.75" hidden="false" customHeight="true" outlineLevel="0" collapsed="false"/>
    <row r="56" customFormat="false" ht="21.75" hidden="false" customHeight="true" outlineLevel="0" collapsed="false"/>
    <row r="57" customFormat="false" ht="21.75" hidden="false" customHeight="true" outlineLevel="0" collapsed="false"/>
    <row r="58" customFormat="false" ht="21.75" hidden="false" customHeight="true" outlineLevel="0" collapsed="false"/>
    <row r="59" customFormat="false" ht="21.75" hidden="false" customHeight="true" outlineLevel="0" collapsed="false"/>
    <row r="60" customFormat="false" ht="21.75" hidden="false" customHeight="true" outlineLevel="0" collapsed="false"/>
    <row r="61" customFormat="false" ht="21.75" hidden="false" customHeight="true" outlineLevel="0" collapsed="false"/>
    <row r="62" customFormat="false" ht="21.75" hidden="false" customHeight="true" outlineLevel="0" collapsed="false"/>
    <row r="63" customFormat="false" ht="21.75" hidden="false" customHeight="true" outlineLevel="0" collapsed="false"/>
    <row r="64" customFormat="false" ht="21.75" hidden="false" customHeight="true" outlineLevel="0" collapsed="false"/>
    <row r="65" customFormat="false" ht="21.75" hidden="false" customHeight="true" outlineLevel="0" collapsed="false"/>
    <row r="66" customFormat="false" ht="21.75" hidden="false" customHeight="true" outlineLevel="0" collapsed="false"/>
    <row r="67" customFormat="false" ht="21.75" hidden="false" customHeight="true" outlineLevel="0" collapsed="false"/>
    <row r="68" customFormat="false" ht="21.75" hidden="false" customHeight="true" outlineLevel="0" collapsed="false"/>
    <row r="69" customFormat="false" ht="21.75" hidden="false" customHeight="true" outlineLevel="0" collapsed="false"/>
    <row r="70" customFormat="false" ht="21.75" hidden="false" customHeight="true" outlineLevel="0" collapsed="false"/>
    <row r="71" customFormat="false" ht="21.75" hidden="false" customHeight="true" outlineLevel="0" collapsed="false"/>
    <row r="72" customFormat="false" ht="21.75" hidden="false" customHeight="true" outlineLevel="0" collapsed="false"/>
    <row r="73" customFormat="false" ht="21.75" hidden="false" customHeight="true" outlineLevel="0" collapsed="false"/>
    <row r="74" customFormat="false" ht="21.75" hidden="false" customHeight="true" outlineLevel="0" collapsed="false"/>
    <row r="75" customFormat="false" ht="21.75" hidden="false" customHeight="true" outlineLevel="0" collapsed="false"/>
    <row r="76" customFormat="false" ht="21.75" hidden="false" customHeight="true" outlineLevel="0" collapsed="false"/>
    <row r="77" customFormat="false" ht="21.75" hidden="false" customHeight="true" outlineLevel="0" collapsed="false"/>
    <row r="78" customFormat="false" ht="21.75" hidden="false" customHeight="true" outlineLevel="0" collapsed="false"/>
    <row r="79" customFormat="false" ht="21.75" hidden="false" customHeight="true" outlineLevel="0" collapsed="false"/>
    <row r="80" customFormat="false" ht="21.75" hidden="false" customHeight="true" outlineLevel="0" collapsed="false"/>
    <row r="81" customFormat="false" ht="21.75" hidden="false" customHeight="true" outlineLevel="0" collapsed="false"/>
    <row r="82" customFormat="false" ht="21.75" hidden="false" customHeight="true" outlineLevel="0" collapsed="false"/>
    <row r="83" customFormat="false" ht="21.75" hidden="false" customHeight="true" outlineLevel="0" collapsed="false"/>
    <row r="84" customFormat="false" ht="21.75" hidden="false" customHeight="true" outlineLevel="0" collapsed="false"/>
    <row r="85" customFormat="false" ht="21.75" hidden="false" customHeight="true" outlineLevel="0" collapsed="false"/>
    <row r="86" customFormat="false" ht="21.75" hidden="false" customHeight="true" outlineLevel="0" collapsed="false"/>
    <row r="87" customFormat="false" ht="21.75" hidden="false" customHeight="true" outlineLevel="0" collapsed="false"/>
    <row r="88" customFormat="false" ht="21.75" hidden="false" customHeight="true" outlineLevel="0" collapsed="false"/>
    <row r="89" customFormat="false" ht="21.75" hidden="false" customHeight="true" outlineLevel="0" collapsed="false"/>
    <row r="90" customFormat="false" ht="21.75" hidden="false" customHeight="true" outlineLevel="0" collapsed="false"/>
    <row r="91" customFormat="false" ht="21.75" hidden="false" customHeight="true" outlineLevel="0" collapsed="false"/>
    <row r="92" customFormat="false" ht="21.75" hidden="false" customHeight="true" outlineLevel="0" collapsed="false"/>
    <row r="93" customFormat="false" ht="21.75" hidden="false" customHeight="true" outlineLevel="0" collapsed="false"/>
    <row r="94" customFormat="false" ht="21.75" hidden="false" customHeight="true" outlineLevel="0" collapsed="false"/>
    <row r="95" customFormat="false" ht="21.75" hidden="false" customHeight="true" outlineLevel="0" collapsed="false"/>
    <row r="96" customFormat="false" ht="21.75" hidden="false" customHeight="true" outlineLevel="0" collapsed="false"/>
    <row r="97" customFormat="false" ht="21.75" hidden="false" customHeight="true" outlineLevel="0" collapsed="false"/>
    <row r="98" customFormat="false" ht="21.75" hidden="false" customHeight="true" outlineLevel="0" collapsed="false"/>
    <row r="99" customFormat="false" ht="21.75" hidden="false" customHeight="true" outlineLevel="0" collapsed="false"/>
    <row r="100" customFormat="false" ht="21.75" hidden="false" customHeight="true" outlineLevel="0" collapsed="false"/>
    <row r="101" customFormat="false" ht="21.75" hidden="false" customHeight="true" outlineLevel="0" collapsed="false"/>
    <row r="102" customFormat="false" ht="21.75" hidden="false" customHeight="true" outlineLevel="0" collapsed="false"/>
    <row r="103" customFormat="false" ht="21.75" hidden="false" customHeight="true" outlineLevel="0" collapsed="false"/>
    <row r="104" customFormat="false" ht="21.75" hidden="false" customHeight="true" outlineLevel="0" collapsed="false"/>
    <row r="105" customFormat="false" ht="21.75" hidden="false" customHeight="true" outlineLevel="0" collapsed="false"/>
    <row r="106" customFormat="false" ht="21.75" hidden="false" customHeight="true" outlineLevel="0" collapsed="false"/>
    <row r="107" customFormat="false" ht="21.75" hidden="false" customHeight="true" outlineLevel="0" collapsed="false"/>
    <row r="108" customFormat="false" ht="21.75" hidden="false" customHeight="true" outlineLevel="0" collapsed="false"/>
    <row r="109" customFormat="false" ht="21.75" hidden="false" customHeight="true" outlineLevel="0" collapsed="false"/>
    <row r="110" customFormat="false" ht="21.75" hidden="false" customHeight="true" outlineLevel="0" collapsed="false"/>
    <row r="111" customFormat="false" ht="21.75" hidden="false" customHeight="true" outlineLevel="0" collapsed="false"/>
    <row r="112" customFormat="false" ht="21.75" hidden="false" customHeight="true" outlineLevel="0" collapsed="false"/>
    <row r="113" customFormat="false" ht="21.75" hidden="false" customHeight="true" outlineLevel="0" collapsed="false"/>
    <row r="114" customFormat="false" ht="21.75" hidden="false" customHeight="true" outlineLevel="0" collapsed="false"/>
    <row r="115" customFormat="false" ht="21.75" hidden="false" customHeight="true" outlineLevel="0" collapsed="false"/>
    <row r="116" customFormat="false" ht="21.75" hidden="false" customHeight="true" outlineLevel="0" collapsed="false"/>
    <row r="117" customFormat="false" ht="21.75" hidden="false" customHeight="true" outlineLevel="0" collapsed="false"/>
    <row r="118" customFormat="false" ht="21.75" hidden="false" customHeight="true" outlineLevel="0" collapsed="false"/>
    <row r="119" customFormat="false" ht="21.75" hidden="false" customHeight="true" outlineLevel="0" collapsed="false"/>
  </sheetData>
  <mergeCells count="6">
    <mergeCell ref="B1:F1"/>
    <mergeCell ref="B4:F4"/>
    <mergeCell ref="B7:F7"/>
    <mergeCell ref="B11:F11"/>
    <mergeCell ref="B14:F14"/>
    <mergeCell ref="B16:F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7AE60"/>
    <pageSetUpPr fitToPage="false"/>
  </sheetPr>
  <dimension ref="A1:I19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6"/>
    <col collapsed="false" customWidth="true" hidden="false" outlineLevel="0" max="3" min="3" style="0" width="30"/>
    <col collapsed="false" customWidth="true" hidden="false" outlineLevel="0" max="4" min="4" style="0" width="22"/>
    <col collapsed="false" customWidth="true" hidden="false" outlineLevel="0" max="6" min="5" style="0" width="12"/>
    <col collapsed="false" customWidth="true" hidden="false" outlineLevel="0" max="7" min="7" style="0" width="16"/>
    <col collapsed="false" customWidth="true" hidden="false" outlineLevel="0" max="8" min="8" style="0" width="22"/>
    <col collapsed="false" customWidth="true" hidden="false" outlineLevel="0" max="9" min="9" style="0" width="2"/>
  </cols>
  <sheetData>
    <row r="1" customFormat="false" ht="19.5" hidden="false" customHeight="true" outlineLevel="0" collapsed="false">
      <c r="A1" s="1"/>
      <c r="B1" s="31" t="s">
        <v>103</v>
      </c>
      <c r="C1" s="31"/>
      <c r="D1" s="31"/>
      <c r="E1" s="31"/>
      <c r="F1" s="31"/>
      <c r="G1" s="31"/>
      <c r="H1" s="31"/>
      <c r="I1" s="1"/>
    </row>
    <row r="2" customFormat="false" ht="19.5" hidden="false" customHeight="true" outlineLevel="0" collapsed="false"/>
    <row r="3" customFormat="false" ht="19.5" hidden="false" customHeight="true" outlineLevel="0" collapsed="false">
      <c r="B3" s="6" t="s">
        <v>104</v>
      </c>
      <c r="C3" s="6" t="s">
        <v>105</v>
      </c>
      <c r="D3" s="6" t="s">
        <v>106</v>
      </c>
      <c r="E3" s="6" t="s">
        <v>59</v>
      </c>
      <c r="F3" s="6" t="s">
        <v>107</v>
      </c>
      <c r="G3" s="6" t="s">
        <v>7</v>
      </c>
      <c r="H3" s="6" t="s">
        <v>50</v>
      </c>
    </row>
    <row r="4" customFormat="false" ht="24" hidden="false" customHeight="true" outlineLevel="0" collapsed="false">
      <c r="B4" s="36" t="s">
        <v>108</v>
      </c>
      <c r="C4" s="36"/>
      <c r="D4" s="36"/>
      <c r="E4" s="36"/>
      <c r="F4" s="36"/>
      <c r="G4" s="36"/>
      <c r="H4" s="36"/>
    </row>
    <row r="5" customFormat="false" ht="19.5" hidden="false" customHeight="true" outlineLevel="0" collapsed="false">
      <c r="B5" s="14" t="n">
        <v>1</v>
      </c>
      <c r="C5" s="27" t="s">
        <v>109</v>
      </c>
      <c r="D5" s="14" t="s">
        <v>110</v>
      </c>
      <c r="E5" s="14" t="s">
        <v>111</v>
      </c>
      <c r="F5" s="37" t="s">
        <v>112</v>
      </c>
      <c r="G5" s="11" t="s">
        <v>13</v>
      </c>
      <c r="H5" s="15"/>
    </row>
    <row r="6" customFormat="false" ht="19.5" hidden="false" customHeight="true" outlineLevel="0" collapsed="false">
      <c r="B6" s="9" t="n">
        <v>2</v>
      </c>
      <c r="C6" s="24" t="s">
        <v>113</v>
      </c>
      <c r="D6" s="9" t="s">
        <v>110</v>
      </c>
      <c r="E6" s="9" t="s">
        <v>111</v>
      </c>
      <c r="F6" s="38" t="s">
        <v>114</v>
      </c>
      <c r="G6" s="11" t="s">
        <v>13</v>
      </c>
      <c r="H6" s="10"/>
    </row>
    <row r="7" customFormat="false" ht="19.5" hidden="false" customHeight="true" outlineLevel="0" collapsed="false">
      <c r="B7" s="14" t="n">
        <v>3</v>
      </c>
      <c r="C7" s="27" t="s">
        <v>115</v>
      </c>
      <c r="D7" s="14" t="s">
        <v>110</v>
      </c>
      <c r="E7" s="14" t="s">
        <v>111</v>
      </c>
      <c r="F7" s="39" t="s">
        <v>116</v>
      </c>
      <c r="G7" s="11" t="s">
        <v>13</v>
      </c>
      <c r="H7" s="15"/>
    </row>
    <row r="8" customFormat="false" ht="19.5" hidden="false" customHeight="true" outlineLevel="0" collapsed="false">
      <c r="B8" s="9" t="n">
        <v>4</v>
      </c>
      <c r="C8" s="24" t="s">
        <v>117</v>
      </c>
      <c r="D8" s="9" t="s">
        <v>110</v>
      </c>
      <c r="E8" s="9" t="s">
        <v>111</v>
      </c>
      <c r="F8" s="38" t="s">
        <v>114</v>
      </c>
      <c r="G8" s="11" t="s">
        <v>13</v>
      </c>
      <c r="H8" s="10"/>
    </row>
    <row r="9" customFormat="false" ht="19.5" hidden="false" customHeight="true" outlineLevel="0" collapsed="false">
      <c r="B9" s="14" t="n">
        <v>5</v>
      </c>
      <c r="C9" s="27" t="s">
        <v>118</v>
      </c>
      <c r="D9" s="14" t="s">
        <v>110</v>
      </c>
      <c r="E9" s="14" t="s">
        <v>111</v>
      </c>
      <c r="F9" s="37" t="s">
        <v>112</v>
      </c>
      <c r="G9" s="11" t="s">
        <v>13</v>
      </c>
      <c r="H9" s="15"/>
    </row>
    <row r="10" customFormat="false" ht="19.5" hidden="false" customHeight="true" outlineLevel="0" collapsed="false">
      <c r="B10" s="9" t="n">
        <v>6</v>
      </c>
      <c r="C10" s="24" t="s">
        <v>119</v>
      </c>
      <c r="D10" s="9" t="s">
        <v>110</v>
      </c>
      <c r="E10" s="9" t="s">
        <v>120</v>
      </c>
      <c r="F10" s="38" t="s">
        <v>114</v>
      </c>
      <c r="G10" s="11" t="s">
        <v>13</v>
      </c>
      <c r="H10" s="10"/>
    </row>
    <row r="11" customFormat="false" ht="19.5" hidden="false" customHeight="true" outlineLevel="0" collapsed="false">
      <c r="B11" s="14" t="n">
        <v>7</v>
      </c>
      <c r="C11" s="27" t="s">
        <v>121</v>
      </c>
      <c r="D11" s="14" t="s">
        <v>110</v>
      </c>
      <c r="E11" s="14" t="s">
        <v>120</v>
      </c>
      <c r="F11" s="40" t="s">
        <v>122</v>
      </c>
      <c r="G11" s="11" t="s">
        <v>13</v>
      </c>
      <c r="H11" s="15"/>
    </row>
    <row r="12" customFormat="false" ht="19.5" hidden="false" customHeight="true" outlineLevel="0" collapsed="false">
      <c r="B12" s="9" t="n">
        <v>8</v>
      </c>
      <c r="C12" s="24" t="s">
        <v>123</v>
      </c>
      <c r="D12" s="9" t="s">
        <v>110</v>
      </c>
      <c r="E12" s="9" t="s">
        <v>120</v>
      </c>
      <c r="F12" s="37" t="s">
        <v>112</v>
      </c>
      <c r="G12" s="11" t="s">
        <v>13</v>
      </c>
      <c r="H12" s="10"/>
    </row>
    <row r="13" customFormat="false" ht="19.5" hidden="false" customHeight="true" outlineLevel="0" collapsed="false">
      <c r="B13" s="14" t="n">
        <v>9</v>
      </c>
      <c r="C13" s="27" t="s">
        <v>124</v>
      </c>
      <c r="D13" s="14" t="s">
        <v>110</v>
      </c>
      <c r="E13" s="14" t="s">
        <v>120</v>
      </c>
      <c r="F13" s="37" t="s">
        <v>112</v>
      </c>
      <c r="G13" s="11" t="s">
        <v>13</v>
      </c>
      <c r="H13" s="15"/>
    </row>
    <row r="14" customFormat="false" ht="24" hidden="false" customHeight="true" outlineLevel="0" collapsed="false">
      <c r="B14" s="36" t="s">
        <v>125</v>
      </c>
      <c r="C14" s="36"/>
      <c r="D14" s="36"/>
      <c r="E14" s="36"/>
      <c r="F14" s="36"/>
      <c r="G14" s="36"/>
      <c r="H14" s="36"/>
    </row>
    <row r="15" customFormat="false" ht="19.5" hidden="false" customHeight="true" outlineLevel="0" collapsed="false">
      <c r="B15" s="14" t="n">
        <v>10</v>
      </c>
      <c r="C15" s="27" t="s">
        <v>126</v>
      </c>
      <c r="D15" s="14" t="s">
        <v>127</v>
      </c>
      <c r="E15" s="14" t="s">
        <v>128</v>
      </c>
      <c r="F15" s="37" t="s">
        <v>112</v>
      </c>
      <c r="G15" s="11" t="s">
        <v>13</v>
      </c>
      <c r="H15" s="15"/>
    </row>
    <row r="16" customFormat="false" ht="19.5" hidden="false" customHeight="true" outlineLevel="0" collapsed="false">
      <c r="B16" s="9" t="n">
        <v>11</v>
      </c>
      <c r="C16" s="24" t="s">
        <v>129</v>
      </c>
      <c r="D16" s="9" t="s">
        <v>127</v>
      </c>
      <c r="E16" s="9" t="s">
        <v>128</v>
      </c>
      <c r="F16" s="38" t="s">
        <v>114</v>
      </c>
      <c r="G16" s="11" t="s">
        <v>13</v>
      </c>
      <c r="H16" s="10"/>
    </row>
    <row r="17" customFormat="false" ht="19.5" hidden="false" customHeight="true" outlineLevel="0" collapsed="false">
      <c r="B17" s="14" t="n">
        <v>12</v>
      </c>
      <c r="C17" s="27" t="s">
        <v>130</v>
      </c>
      <c r="D17" s="14" t="s">
        <v>127</v>
      </c>
      <c r="E17" s="14" t="s">
        <v>128</v>
      </c>
      <c r="F17" s="37" t="s">
        <v>112</v>
      </c>
      <c r="G17" s="11" t="s">
        <v>13</v>
      </c>
      <c r="H17" s="15"/>
    </row>
    <row r="18" customFormat="false" ht="19.5" hidden="false" customHeight="true" outlineLevel="0" collapsed="false">
      <c r="B18" s="9" t="n">
        <v>13</v>
      </c>
      <c r="C18" s="24" t="s">
        <v>131</v>
      </c>
      <c r="D18" s="9" t="s">
        <v>127</v>
      </c>
      <c r="E18" s="9" t="s">
        <v>128</v>
      </c>
      <c r="F18" s="37" t="s">
        <v>112</v>
      </c>
      <c r="G18" s="11" t="s">
        <v>13</v>
      </c>
      <c r="H18" s="10"/>
    </row>
    <row r="19" customFormat="false" ht="19.5" hidden="false" customHeight="true" outlineLevel="0" collapsed="false">
      <c r="B19" s="14" t="n">
        <v>14</v>
      </c>
      <c r="C19" s="27" t="s">
        <v>132</v>
      </c>
      <c r="D19" s="14" t="s">
        <v>127</v>
      </c>
      <c r="E19" s="14" t="s">
        <v>128</v>
      </c>
      <c r="F19" s="37" t="s">
        <v>112</v>
      </c>
      <c r="G19" s="11" t="s">
        <v>13</v>
      </c>
      <c r="H19" s="15"/>
    </row>
    <row r="20" customFormat="false" ht="19.5" hidden="false" customHeight="true" outlineLevel="0" collapsed="false">
      <c r="B20" s="9" t="n">
        <v>15</v>
      </c>
      <c r="C20" s="24" t="s">
        <v>133</v>
      </c>
      <c r="D20" s="9" t="s">
        <v>127</v>
      </c>
      <c r="E20" s="9" t="s">
        <v>134</v>
      </c>
      <c r="F20" s="37" t="s">
        <v>112</v>
      </c>
      <c r="G20" s="11" t="s">
        <v>13</v>
      </c>
      <c r="H20" s="10"/>
    </row>
    <row r="21" customFormat="false" ht="19.5" hidden="false" customHeight="true" outlineLevel="0" collapsed="false">
      <c r="B21" s="14" t="n">
        <v>16</v>
      </c>
      <c r="C21" s="27" t="s">
        <v>135</v>
      </c>
      <c r="D21" s="14" t="s">
        <v>127</v>
      </c>
      <c r="E21" s="14" t="s">
        <v>134</v>
      </c>
      <c r="F21" s="38" t="s">
        <v>114</v>
      </c>
      <c r="G21" s="11" t="s">
        <v>13</v>
      </c>
      <c r="H21" s="15"/>
    </row>
    <row r="22" customFormat="false" ht="19.5" hidden="false" customHeight="true" outlineLevel="0" collapsed="false">
      <c r="B22" s="9" t="n">
        <v>17</v>
      </c>
      <c r="C22" s="24" t="s">
        <v>136</v>
      </c>
      <c r="D22" s="9" t="s">
        <v>127</v>
      </c>
      <c r="E22" s="9" t="s">
        <v>134</v>
      </c>
      <c r="F22" s="38" t="s">
        <v>114</v>
      </c>
      <c r="G22" s="11" t="s">
        <v>13</v>
      </c>
      <c r="H22" s="10"/>
    </row>
    <row r="23" customFormat="false" ht="19.5" hidden="false" customHeight="true" outlineLevel="0" collapsed="false">
      <c r="B23" s="14" t="n">
        <v>18</v>
      </c>
      <c r="C23" s="27" t="s">
        <v>137</v>
      </c>
      <c r="D23" s="14" t="s">
        <v>127</v>
      </c>
      <c r="E23" s="14" t="s">
        <v>134</v>
      </c>
      <c r="F23" s="39" t="s">
        <v>116</v>
      </c>
      <c r="G23" s="11" t="s">
        <v>13</v>
      </c>
      <c r="H23" s="15"/>
    </row>
    <row r="24" customFormat="false" ht="19.5" hidden="false" customHeight="true" outlineLevel="0" collapsed="false">
      <c r="B24" s="9" t="n">
        <v>19</v>
      </c>
      <c r="C24" s="24" t="s">
        <v>138</v>
      </c>
      <c r="D24" s="9" t="s">
        <v>127</v>
      </c>
      <c r="E24" s="9" t="s">
        <v>134</v>
      </c>
      <c r="F24" s="37" t="s">
        <v>112</v>
      </c>
      <c r="G24" s="11" t="s">
        <v>13</v>
      </c>
      <c r="H24" s="10"/>
    </row>
    <row r="25" customFormat="false" ht="19.5" hidden="false" customHeight="true" outlineLevel="0" collapsed="false">
      <c r="B25" s="14" t="n">
        <v>20</v>
      </c>
      <c r="C25" s="27" t="s">
        <v>139</v>
      </c>
      <c r="D25" s="14" t="s">
        <v>127</v>
      </c>
      <c r="E25" s="14" t="s">
        <v>140</v>
      </c>
      <c r="F25" s="38" t="s">
        <v>114</v>
      </c>
      <c r="G25" s="11" t="s">
        <v>13</v>
      </c>
      <c r="H25" s="15"/>
    </row>
    <row r="26" customFormat="false" ht="19.5" hidden="false" customHeight="true" outlineLevel="0" collapsed="false">
      <c r="B26" s="9" t="n">
        <v>21</v>
      </c>
      <c r="C26" s="24" t="s">
        <v>141</v>
      </c>
      <c r="D26" s="9" t="s">
        <v>127</v>
      </c>
      <c r="E26" s="9" t="s">
        <v>140</v>
      </c>
      <c r="F26" s="37" t="s">
        <v>112</v>
      </c>
      <c r="G26" s="11" t="s">
        <v>13</v>
      </c>
      <c r="H26" s="10"/>
    </row>
    <row r="27" customFormat="false" ht="19.5" hidden="false" customHeight="true" outlineLevel="0" collapsed="false">
      <c r="B27" s="14" t="n">
        <v>22</v>
      </c>
      <c r="C27" s="27" t="s">
        <v>142</v>
      </c>
      <c r="D27" s="14" t="s">
        <v>127</v>
      </c>
      <c r="E27" s="14" t="s">
        <v>140</v>
      </c>
      <c r="F27" s="38" t="s">
        <v>114</v>
      </c>
      <c r="G27" s="11" t="s">
        <v>13</v>
      </c>
      <c r="H27" s="15"/>
    </row>
    <row r="28" customFormat="false" ht="19.5" hidden="false" customHeight="true" outlineLevel="0" collapsed="false">
      <c r="B28" s="9" t="n">
        <v>23</v>
      </c>
      <c r="C28" s="24" t="s">
        <v>143</v>
      </c>
      <c r="D28" s="9" t="s">
        <v>127</v>
      </c>
      <c r="E28" s="9" t="s">
        <v>140</v>
      </c>
      <c r="F28" s="37" t="s">
        <v>112</v>
      </c>
      <c r="G28" s="11" t="s">
        <v>13</v>
      </c>
      <c r="H28" s="10"/>
    </row>
    <row r="29" customFormat="false" ht="24" hidden="false" customHeight="true" outlineLevel="0" collapsed="false">
      <c r="B29" s="36" t="s">
        <v>144</v>
      </c>
      <c r="C29" s="36"/>
      <c r="D29" s="36"/>
      <c r="E29" s="36"/>
      <c r="F29" s="36"/>
      <c r="G29" s="36"/>
      <c r="H29" s="36"/>
    </row>
    <row r="30" customFormat="false" ht="19.5" hidden="false" customHeight="true" outlineLevel="0" collapsed="false">
      <c r="B30" s="9" t="n">
        <v>24</v>
      </c>
      <c r="C30" s="24" t="s">
        <v>145</v>
      </c>
      <c r="D30" s="9" t="s">
        <v>146</v>
      </c>
      <c r="E30" s="9" t="s">
        <v>147</v>
      </c>
      <c r="F30" s="37" t="s">
        <v>112</v>
      </c>
      <c r="G30" s="11" t="s">
        <v>13</v>
      </c>
      <c r="H30" s="10"/>
    </row>
    <row r="31" customFormat="false" ht="19.5" hidden="false" customHeight="true" outlineLevel="0" collapsed="false">
      <c r="B31" s="14" t="n">
        <v>25</v>
      </c>
      <c r="C31" s="27" t="s">
        <v>148</v>
      </c>
      <c r="D31" s="14" t="s">
        <v>146</v>
      </c>
      <c r="E31" s="14" t="s">
        <v>147</v>
      </c>
      <c r="F31" s="37" t="s">
        <v>112</v>
      </c>
      <c r="G31" s="11" t="s">
        <v>13</v>
      </c>
      <c r="H31" s="15"/>
    </row>
    <row r="32" customFormat="false" ht="19.5" hidden="false" customHeight="true" outlineLevel="0" collapsed="false">
      <c r="B32" s="9" t="n">
        <v>26</v>
      </c>
      <c r="C32" s="24" t="s">
        <v>149</v>
      </c>
      <c r="D32" s="9" t="s">
        <v>146</v>
      </c>
      <c r="E32" s="9" t="s">
        <v>147</v>
      </c>
      <c r="F32" s="37" t="s">
        <v>112</v>
      </c>
      <c r="G32" s="11" t="s">
        <v>13</v>
      </c>
      <c r="H32" s="10"/>
    </row>
    <row r="33" customFormat="false" ht="19.5" hidden="false" customHeight="true" outlineLevel="0" collapsed="false">
      <c r="B33" s="14" t="n">
        <v>27</v>
      </c>
      <c r="C33" s="27" t="s">
        <v>150</v>
      </c>
      <c r="D33" s="14" t="s">
        <v>146</v>
      </c>
      <c r="E33" s="14" t="s">
        <v>147</v>
      </c>
      <c r="F33" s="37" t="s">
        <v>112</v>
      </c>
      <c r="G33" s="11" t="s">
        <v>13</v>
      </c>
      <c r="H33" s="15"/>
    </row>
    <row r="34" customFormat="false" ht="19.5" hidden="false" customHeight="true" outlineLevel="0" collapsed="false">
      <c r="B34" s="9" t="n">
        <v>28</v>
      </c>
      <c r="C34" s="24" t="s">
        <v>151</v>
      </c>
      <c r="D34" s="9" t="s">
        <v>146</v>
      </c>
      <c r="E34" s="9" t="s">
        <v>147</v>
      </c>
      <c r="F34" s="38" t="s">
        <v>114</v>
      </c>
      <c r="G34" s="11" t="s">
        <v>13</v>
      </c>
      <c r="H34" s="10"/>
    </row>
    <row r="35" customFormat="false" ht="19.5" hidden="false" customHeight="true" outlineLevel="0" collapsed="false">
      <c r="B35" s="14" t="n">
        <v>29</v>
      </c>
      <c r="C35" s="27" t="s">
        <v>152</v>
      </c>
      <c r="D35" s="14" t="s">
        <v>146</v>
      </c>
      <c r="E35" s="14" t="s">
        <v>153</v>
      </c>
      <c r="F35" s="37" t="s">
        <v>112</v>
      </c>
      <c r="G35" s="11" t="s">
        <v>13</v>
      </c>
      <c r="H35" s="15"/>
    </row>
    <row r="36" customFormat="false" ht="19.5" hidden="false" customHeight="true" outlineLevel="0" collapsed="false">
      <c r="B36" s="9" t="n">
        <v>30</v>
      </c>
      <c r="C36" s="24" t="s">
        <v>154</v>
      </c>
      <c r="D36" s="9" t="s">
        <v>146</v>
      </c>
      <c r="E36" s="9" t="s">
        <v>153</v>
      </c>
      <c r="F36" s="38" t="s">
        <v>114</v>
      </c>
      <c r="G36" s="11" t="s">
        <v>13</v>
      </c>
      <c r="H36" s="10"/>
    </row>
    <row r="37" customFormat="false" ht="19.5" hidden="false" customHeight="true" outlineLevel="0" collapsed="false">
      <c r="B37" s="14" t="n">
        <v>31</v>
      </c>
      <c r="C37" s="27" t="s">
        <v>155</v>
      </c>
      <c r="D37" s="14" t="s">
        <v>146</v>
      </c>
      <c r="E37" s="14" t="s">
        <v>153</v>
      </c>
      <c r="F37" s="38" t="s">
        <v>114</v>
      </c>
      <c r="G37" s="11" t="s">
        <v>13</v>
      </c>
      <c r="H37" s="15"/>
    </row>
    <row r="38" customFormat="false" ht="19.5" hidden="false" customHeight="true" outlineLevel="0" collapsed="false">
      <c r="B38" s="9" t="n">
        <v>32</v>
      </c>
      <c r="C38" s="24" t="s">
        <v>156</v>
      </c>
      <c r="D38" s="9" t="s">
        <v>146</v>
      </c>
      <c r="E38" s="9" t="s">
        <v>153</v>
      </c>
      <c r="F38" s="39" t="s">
        <v>116</v>
      </c>
      <c r="G38" s="11" t="s">
        <v>13</v>
      </c>
      <c r="H38" s="10"/>
    </row>
    <row r="39" customFormat="false" ht="19.5" hidden="false" customHeight="true" outlineLevel="0" collapsed="false">
      <c r="B39" s="14" t="n">
        <v>33</v>
      </c>
      <c r="C39" s="27" t="s">
        <v>157</v>
      </c>
      <c r="D39" s="14" t="s">
        <v>146</v>
      </c>
      <c r="E39" s="14" t="s">
        <v>153</v>
      </c>
      <c r="F39" s="37" t="s">
        <v>112</v>
      </c>
      <c r="G39" s="11" t="s">
        <v>13</v>
      </c>
      <c r="H39" s="15"/>
    </row>
    <row r="40" customFormat="false" ht="24" hidden="false" customHeight="true" outlineLevel="0" collapsed="false">
      <c r="B40" s="36" t="s">
        <v>158</v>
      </c>
      <c r="C40" s="36"/>
      <c r="D40" s="36"/>
      <c r="E40" s="36"/>
      <c r="F40" s="36"/>
      <c r="G40" s="36"/>
      <c r="H40" s="36"/>
    </row>
    <row r="41" customFormat="false" ht="19.5" hidden="false" customHeight="true" outlineLevel="0" collapsed="false">
      <c r="B41" s="14" t="n">
        <v>34</v>
      </c>
      <c r="C41" s="27" t="s">
        <v>159</v>
      </c>
      <c r="D41" s="14" t="s">
        <v>160</v>
      </c>
      <c r="E41" s="14" t="s">
        <v>161</v>
      </c>
      <c r="F41" s="37" t="s">
        <v>112</v>
      </c>
      <c r="G41" s="11" t="s">
        <v>13</v>
      </c>
      <c r="H41" s="15"/>
    </row>
    <row r="42" customFormat="false" ht="19.5" hidden="false" customHeight="true" outlineLevel="0" collapsed="false">
      <c r="B42" s="9" t="n">
        <v>35</v>
      </c>
      <c r="C42" s="24" t="s">
        <v>162</v>
      </c>
      <c r="D42" s="9" t="s">
        <v>160</v>
      </c>
      <c r="E42" s="9" t="s">
        <v>161</v>
      </c>
      <c r="F42" s="37" t="s">
        <v>112</v>
      </c>
      <c r="G42" s="11" t="s">
        <v>13</v>
      </c>
      <c r="H42" s="10"/>
    </row>
    <row r="43" customFormat="false" ht="19.5" hidden="false" customHeight="true" outlineLevel="0" collapsed="false">
      <c r="B43" s="14" t="n">
        <v>36</v>
      </c>
      <c r="C43" s="27" t="s">
        <v>163</v>
      </c>
      <c r="D43" s="14" t="s">
        <v>160</v>
      </c>
      <c r="E43" s="14" t="s">
        <v>161</v>
      </c>
      <c r="F43" s="38" t="s">
        <v>114</v>
      </c>
      <c r="G43" s="11" t="s">
        <v>13</v>
      </c>
      <c r="H43" s="15"/>
    </row>
    <row r="44" customFormat="false" ht="19.5" hidden="false" customHeight="true" outlineLevel="0" collapsed="false">
      <c r="B44" s="9" t="n">
        <v>37</v>
      </c>
      <c r="C44" s="24" t="s">
        <v>164</v>
      </c>
      <c r="D44" s="9" t="s">
        <v>160</v>
      </c>
      <c r="E44" s="9" t="s">
        <v>161</v>
      </c>
      <c r="F44" s="38" t="s">
        <v>114</v>
      </c>
      <c r="G44" s="11" t="s">
        <v>13</v>
      </c>
      <c r="H44" s="10"/>
    </row>
    <row r="45" customFormat="false" ht="19.5" hidden="false" customHeight="true" outlineLevel="0" collapsed="false">
      <c r="B45" s="14" t="n">
        <v>38</v>
      </c>
      <c r="C45" s="27" t="s">
        <v>165</v>
      </c>
      <c r="D45" s="14" t="s">
        <v>160</v>
      </c>
      <c r="E45" s="14" t="s">
        <v>161</v>
      </c>
      <c r="F45" s="37" t="s">
        <v>112</v>
      </c>
      <c r="G45" s="11" t="s">
        <v>13</v>
      </c>
      <c r="H45" s="15"/>
    </row>
    <row r="46" customFormat="false" ht="19.5" hidden="false" customHeight="true" outlineLevel="0" collapsed="false">
      <c r="B46" s="9" t="n">
        <v>39</v>
      </c>
      <c r="C46" s="24" t="s">
        <v>166</v>
      </c>
      <c r="D46" s="9" t="s">
        <v>160</v>
      </c>
      <c r="E46" s="9" t="s">
        <v>161</v>
      </c>
      <c r="F46" s="37" t="s">
        <v>112</v>
      </c>
      <c r="G46" s="11" t="s">
        <v>13</v>
      </c>
      <c r="H46" s="10"/>
    </row>
    <row r="47" customFormat="false" ht="24" hidden="false" customHeight="true" outlineLevel="0" collapsed="false">
      <c r="B47" s="36" t="s">
        <v>167</v>
      </c>
      <c r="C47" s="36"/>
      <c r="D47" s="36"/>
      <c r="E47" s="36"/>
      <c r="F47" s="36"/>
      <c r="G47" s="36"/>
      <c r="H47" s="36"/>
    </row>
    <row r="48" customFormat="false" ht="19.5" hidden="false" customHeight="true" outlineLevel="0" collapsed="false">
      <c r="B48" s="9" t="n">
        <v>40</v>
      </c>
      <c r="C48" s="24" t="s">
        <v>168</v>
      </c>
      <c r="D48" s="9" t="s">
        <v>169</v>
      </c>
      <c r="E48" s="9" t="s">
        <v>170</v>
      </c>
      <c r="F48" s="37" t="s">
        <v>112</v>
      </c>
      <c r="G48" s="11" t="s">
        <v>13</v>
      </c>
      <c r="H48" s="10"/>
    </row>
    <row r="49" customFormat="false" ht="19.5" hidden="false" customHeight="true" outlineLevel="0" collapsed="false">
      <c r="B49" s="14" t="n">
        <v>41</v>
      </c>
      <c r="C49" s="27" t="s">
        <v>171</v>
      </c>
      <c r="D49" s="14" t="s">
        <v>169</v>
      </c>
      <c r="E49" s="14" t="s">
        <v>170</v>
      </c>
      <c r="F49" s="37" t="s">
        <v>112</v>
      </c>
      <c r="G49" s="11" t="s">
        <v>13</v>
      </c>
      <c r="H49" s="15"/>
    </row>
    <row r="50" customFormat="false" ht="19.5" hidden="false" customHeight="true" outlineLevel="0" collapsed="false">
      <c r="B50" s="9" t="n">
        <v>42</v>
      </c>
      <c r="C50" s="24" t="s">
        <v>172</v>
      </c>
      <c r="D50" s="9" t="s">
        <v>169</v>
      </c>
      <c r="E50" s="9" t="s">
        <v>170</v>
      </c>
      <c r="F50" s="37" t="s">
        <v>112</v>
      </c>
      <c r="G50" s="11" t="s">
        <v>13</v>
      </c>
      <c r="H50" s="10"/>
    </row>
    <row r="51" customFormat="false" ht="19.5" hidden="false" customHeight="true" outlineLevel="0" collapsed="false">
      <c r="B51" s="14" t="n">
        <v>43</v>
      </c>
      <c r="C51" s="27" t="s">
        <v>173</v>
      </c>
      <c r="D51" s="14" t="s">
        <v>169</v>
      </c>
      <c r="E51" s="14" t="s">
        <v>170</v>
      </c>
      <c r="F51" s="39" t="s">
        <v>116</v>
      </c>
      <c r="G51" s="11" t="s">
        <v>13</v>
      </c>
      <c r="H51" s="15"/>
    </row>
    <row r="52" customFormat="false" ht="19.5" hidden="false" customHeight="true" outlineLevel="0" collapsed="false">
      <c r="B52" s="9" t="n">
        <v>44</v>
      </c>
      <c r="C52" s="24" t="s">
        <v>174</v>
      </c>
      <c r="D52" s="9" t="s">
        <v>169</v>
      </c>
      <c r="E52" s="9" t="s">
        <v>170</v>
      </c>
      <c r="F52" s="38" t="s">
        <v>114</v>
      </c>
      <c r="G52" s="11" t="s">
        <v>13</v>
      </c>
      <c r="H52" s="10"/>
    </row>
    <row r="53" customFormat="false" ht="19.5" hidden="false" customHeight="true" outlineLevel="0" collapsed="false">
      <c r="B53" s="14" t="n">
        <v>45</v>
      </c>
      <c r="C53" s="27" t="s">
        <v>175</v>
      </c>
      <c r="D53" s="14" t="s">
        <v>169</v>
      </c>
      <c r="E53" s="14" t="s">
        <v>176</v>
      </c>
      <c r="F53" s="38" t="s">
        <v>114</v>
      </c>
      <c r="G53" s="11" t="s">
        <v>13</v>
      </c>
      <c r="H53" s="15"/>
    </row>
    <row r="54" customFormat="false" ht="19.5" hidden="false" customHeight="true" outlineLevel="0" collapsed="false">
      <c r="B54" s="9" t="n">
        <v>46</v>
      </c>
      <c r="C54" s="24" t="s">
        <v>177</v>
      </c>
      <c r="D54" s="9" t="s">
        <v>169</v>
      </c>
      <c r="E54" s="9" t="s">
        <v>176</v>
      </c>
      <c r="F54" s="37" t="s">
        <v>112</v>
      </c>
      <c r="G54" s="11" t="s">
        <v>13</v>
      </c>
      <c r="H54" s="10"/>
    </row>
    <row r="55" customFormat="false" ht="19.5" hidden="false" customHeight="true" outlineLevel="0" collapsed="false">
      <c r="B55" s="14" t="n">
        <v>47</v>
      </c>
      <c r="C55" s="27" t="s">
        <v>178</v>
      </c>
      <c r="D55" s="14" t="s">
        <v>169</v>
      </c>
      <c r="E55" s="14" t="s">
        <v>176</v>
      </c>
      <c r="F55" s="38" t="s">
        <v>114</v>
      </c>
      <c r="G55" s="11" t="s">
        <v>13</v>
      </c>
      <c r="H55" s="15"/>
    </row>
    <row r="56" customFormat="false" ht="19.5" hidden="false" customHeight="true" outlineLevel="0" collapsed="false">
      <c r="B56" s="9" t="n">
        <v>48</v>
      </c>
      <c r="C56" s="24" t="s">
        <v>179</v>
      </c>
      <c r="D56" s="9" t="s">
        <v>169</v>
      </c>
      <c r="E56" s="9" t="s">
        <v>176</v>
      </c>
      <c r="F56" s="37" t="s">
        <v>112</v>
      </c>
      <c r="G56" s="11" t="s">
        <v>13</v>
      </c>
      <c r="H56" s="10"/>
    </row>
    <row r="57" customFormat="false" ht="19.5" hidden="false" customHeight="true" outlineLevel="0" collapsed="false">
      <c r="B57" s="14" t="n">
        <v>49</v>
      </c>
      <c r="C57" s="27" t="s">
        <v>180</v>
      </c>
      <c r="D57" s="14" t="s">
        <v>169</v>
      </c>
      <c r="E57" s="14" t="s">
        <v>176</v>
      </c>
      <c r="F57" s="37" t="s">
        <v>112</v>
      </c>
      <c r="G57" s="11" t="s">
        <v>13</v>
      </c>
      <c r="H57" s="15"/>
    </row>
    <row r="58" customFormat="false" ht="19.5" hidden="false" customHeight="true" outlineLevel="0" collapsed="false"/>
    <row r="59" customFormat="false" ht="19.5" hidden="false" customHeight="true" outlineLevel="0" collapsed="false"/>
    <row r="60" customFormat="false" ht="19.5" hidden="false" customHeight="true" outlineLevel="0" collapsed="false"/>
    <row r="61" customFormat="false" ht="19.5" hidden="false" customHeight="true" outlineLevel="0" collapsed="false"/>
    <row r="62" customFormat="false" ht="19.5" hidden="false" customHeight="true" outlineLevel="0" collapsed="false"/>
    <row r="63" customFormat="false" ht="19.5" hidden="false" customHeight="true" outlineLevel="0" collapsed="false"/>
    <row r="64" customFormat="false" ht="19.5" hidden="false" customHeight="true" outlineLevel="0" collapsed="false"/>
    <row r="65" customFormat="false" ht="19.5" hidden="false" customHeight="true" outlineLevel="0" collapsed="false"/>
    <row r="66" customFormat="false" ht="19.5" hidden="false" customHeight="true" outlineLevel="0" collapsed="false"/>
    <row r="67" customFormat="false" ht="19.5" hidden="false" customHeight="true" outlineLevel="0" collapsed="false"/>
    <row r="68" customFormat="false" ht="19.5" hidden="false" customHeight="true" outlineLevel="0" collapsed="false"/>
    <row r="69" customFormat="false" ht="19.5" hidden="false" customHeight="true" outlineLevel="0" collapsed="false"/>
    <row r="70" customFormat="false" ht="19.5" hidden="false" customHeight="true" outlineLevel="0" collapsed="false"/>
    <row r="71" customFormat="false" ht="19.5" hidden="false" customHeight="true" outlineLevel="0" collapsed="false"/>
    <row r="72" customFormat="false" ht="19.5" hidden="false" customHeight="true" outlineLevel="0" collapsed="false"/>
    <row r="73" customFormat="false" ht="19.5" hidden="false" customHeight="true" outlineLevel="0" collapsed="false"/>
    <row r="74" customFormat="false" ht="19.5" hidden="false" customHeight="true" outlineLevel="0" collapsed="false"/>
    <row r="75" customFormat="false" ht="19.5" hidden="false" customHeight="true" outlineLevel="0" collapsed="false"/>
    <row r="76" customFormat="false" ht="19.5" hidden="false" customHeight="true" outlineLevel="0" collapsed="false"/>
    <row r="77" customFormat="false" ht="19.5" hidden="false" customHeight="true" outlineLevel="0" collapsed="false"/>
    <row r="78" customFormat="false" ht="19.5" hidden="false" customHeight="true" outlineLevel="0" collapsed="false"/>
    <row r="79" customFormat="false" ht="19.5" hidden="false" customHeight="true" outlineLevel="0" collapsed="false"/>
    <row r="80" customFormat="false" ht="19.5" hidden="false" customHeight="true" outlineLevel="0" collapsed="false"/>
    <row r="81" customFormat="false" ht="19.5" hidden="false" customHeight="true" outlineLevel="0" collapsed="false"/>
    <row r="82" customFormat="false" ht="19.5" hidden="false" customHeight="true" outlineLevel="0" collapsed="false"/>
    <row r="83" customFormat="false" ht="19.5" hidden="false" customHeight="true" outlineLevel="0" collapsed="false"/>
    <row r="84" customFormat="false" ht="19.5" hidden="false" customHeight="true" outlineLevel="0" collapsed="false"/>
    <row r="85" customFormat="false" ht="19.5" hidden="false" customHeight="true" outlineLevel="0" collapsed="false"/>
    <row r="86" customFormat="false" ht="19.5" hidden="false" customHeight="true" outlineLevel="0" collapsed="false"/>
    <row r="87" customFormat="false" ht="19.5" hidden="false" customHeight="true" outlineLevel="0" collapsed="false"/>
    <row r="88" customFormat="false" ht="19.5" hidden="false" customHeight="true" outlineLevel="0" collapsed="false"/>
    <row r="89" customFormat="false" ht="19.5" hidden="false" customHeight="true" outlineLevel="0" collapsed="false"/>
    <row r="90" customFormat="false" ht="19.5" hidden="false" customHeight="true" outlineLevel="0" collapsed="false"/>
    <row r="91" customFormat="false" ht="19.5" hidden="false" customHeight="true" outlineLevel="0" collapsed="false"/>
    <row r="92" customFormat="false" ht="19.5" hidden="false" customHeight="true" outlineLevel="0" collapsed="false"/>
    <row r="93" customFormat="false" ht="19.5" hidden="false" customHeight="true" outlineLevel="0" collapsed="false"/>
    <row r="94" customFormat="false" ht="19.5" hidden="false" customHeight="true" outlineLevel="0" collapsed="false"/>
    <row r="95" customFormat="false" ht="19.5" hidden="false" customHeight="true" outlineLevel="0" collapsed="false"/>
    <row r="96" customFormat="false" ht="19.5" hidden="false" customHeight="true" outlineLevel="0" collapsed="false"/>
    <row r="97" customFormat="false" ht="19.5" hidden="false" customHeight="true" outlineLevel="0" collapsed="false"/>
    <row r="98" customFormat="false" ht="19.5" hidden="false" customHeight="true" outlineLevel="0" collapsed="false"/>
    <row r="99" customFormat="false" ht="19.5" hidden="false" customHeight="true" outlineLevel="0" collapsed="false"/>
    <row r="100" customFormat="false" ht="19.5" hidden="false" customHeight="true" outlineLevel="0" collapsed="false"/>
    <row r="101" customFormat="false" ht="19.5" hidden="false" customHeight="true" outlineLevel="0" collapsed="false"/>
    <row r="102" customFormat="false" ht="19.5" hidden="false" customHeight="true" outlineLevel="0" collapsed="false"/>
    <row r="103" customFormat="false" ht="19.5" hidden="false" customHeight="true" outlineLevel="0" collapsed="false"/>
    <row r="104" customFormat="false" ht="19.5" hidden="false" customHeight="true" outlineLevel="0" collapsed="false"/>
    <row r="105" customFormat="false" ht="19.5" hidden="false" customHeight="true" outlineLevel="0" collapsed="false"/>
    <row r="106" customFormat="false" ht="19.5" hidden="false" customHeight="true" outlineLevel="0" collapsed="false"/>
    <row r="107" customFormat="false" ht="19.5" hidden="false" customHeight="true" outlineLevel="0" collapsed="false"/>
    <row r="108" customFormat="false" ht="19.5" hidden="false" customHeight="true" outlineLevel="0" collapsed="false"/>
    <row r="109" customFormat="false" ht="19.5" hidden="false" customHeight="true" outlineLevel="0" collapsed="false"/>
    <row r="110" customFormat="false" ht="19.5" hidden="false" customHeight="true" outlineLevel="0" collapsed="false"/>
    <row r="111" customFormat="false" ht="19.5" hidden="false" customHeight="true" outlineLevel="0" collapsed="false"/>
    <row r="112" customFormat="false" ht="19.5" hidden="false" customHeight="true" outlineLevel="0" collapsed="false"/>
    <row r="113" customFormat="false" ht="19.5" hidden="false" customHeight="true" outlineLevel="0" collapsed="false"/>
    <row r="114" customFormat="false" ht="19.5" hidden="false" customHeight="true" outlineLevel="0" collapsed="false"/>
    <row r="115" customFormat="false" ht="19.5" hidden="false" customHeight="true" outlineLevel="0" collapsed="false"/>
    <row r="116" customFormat="false" ht="19.5" hidden="false" customHeight="true" outlineLevel="0" collapsed="false"/>
    <row r="117" customFormat="false" ht="19.5" hidden="false" customHeight="true" outlineLevel="0" collapsed="false"/>
    <row r="118" customFormat="false" ht="19.5" hidden="false" customHeight="true" outlineLevel="0" collapsed="false"/>
    <row r="119" customFormat="false" ht="19.5" hidden="false" customHeight="true" outlineLevel="0" collapsed="false"/>
    <row r="120" customFormat="false" ht="19.5" hidden="false" customHeight="true" outlineLevel="0" collapsed="false"/>
    <row r="121" customFormat="false" ht="19.5" hidden="false" customHeight="true" outlineLevel="0" collapsed="false"/>
    <row r="122" customFormat="false" ht="19.5" hidden="false" customHeight="true" outlineLevel="0" collapsed="false"/>
    <row r="123" customFormat="false" ht="19.5" hidden="false" customHeight="true" outlineLevel="0" collapsed="false"/>
    <row r="124" customFormat="false" ht="19.5" hidden="false" customHeight="true" outlineLevel="0" collapsed="false"/>
    <row r="125" customFormat="false" ht="19.5" hidden="false" customHeight="true" outlineLevel="0" collapsed="false"/>
    <row r="126" customFormat="false" ht="19.5" hidden="false" customHeight="true" outlineLevel="0" collapsed="false"/>
    <row r="127" customFormat="false" ht="19.5" hidden="false" customHeight="true" outlineLevel="0" collapsed="false"/>
    <row r="128" customFormat="false" ht="19.5" hidden="false" customHeight="true" outlineLevel="0" collapsed="false"/>
    <row r="129" customFormat="false" ht="19.5" hidden="false" customHeight="true" outlineLevel="0" collapsed="false"/>
    <row r="130" customFormat="false" ht="19.5" hidden="false" customHeight="true" outlineLevel="0" collapsed="false"/>
    <row r="131" customFormat="false" ht="19.5" hidden="false" customHeight="true" outlineLevel="0" collapsed="false"/>
    <row r="132" customFormat="false" ht="19.5" hidden="false" customHeight="true" outlineLevel="0" collapsed="false"/>
    <row r="133" customFormat="false" ht="19.5" hidden="false" customHeight="true" outlineLevel="0" collapsed="false"/>
    <row r="134" customFormat="false" ht="19.5" hidden="false" customHeight="true" outlineLevel="0" collapsed="false"/>
    <row r="135" customFormat="false" ht="19.5" hidden="false" customHeight="true" outlineLevel="0" collapsed="false"/>
    <row r="136" customFormat="false" ht="19.5" hidden="false" customHeight="true" outlineLevel="0" collapsed="false"/>
    <row r="137" customFormat="false" ht="19.5" hidden="false" customHeight="true" outlineLevel="0" collapsed="false"/>
    <row r="138" customFormat="false" ht="19.5" hidden="false" customHeight="true" outlineLevel="0" collapsed="false"/>
    <row r="139" customFormat="false" ht="19.5" hidden="false" customHeight="true" outlineLevel="0" collapsed="false"/>
    <row r="140" customFormat="false" ht="19.5" hidden="false" customHeight="true" outlineLevel="0" collapsed="false"/>
    <row r="141" customFormat="false" ht="19.5" hidden="false" customHeight="true" outlineLevel="0" collapsed="false"/>
    <row r="142" customFormat="false" ht="19.5" hidden="false" customHeight="true" outlineLevel="0" collapsed="false"/>
    <row r="143" customFormat="false" ht="19.5" hidden="false" customHeight="true" outlineLevel="0" collapsed="false"/>
    <row r="144" customFormat="false" ht="19.5" hidden="false" customHeight="true" outlineLevel="0" collapsed="false"/>
    <row r="145" customFormat="false" ht="19.5" hidden="false" customHeight="true" outlineLevel="0" collapsed="false"/>
    <row r="146" customFormat="false" ht="19.5" hidden="false" customHeight="true" outlineLevel="0" collapsed="false"/>
    <row r="147" customFormat="false" ht="19.5" hidden="false" customHeight="true" outlineLevel="0" collapsed="false"/>
    <row r="148" customFormat="false" ht="19.5" hidden="false" customHeight="true" outlineLevel="0" collapsed="false"/>
    <row r="149" customFormat="false" ht="19.5" hidden="false" customHeight="true" outlineLevel="0" collapsed="false"/>
    <row r="150" customFormat="false" ht="19.5" hidden="false" customHeight="true" outlineLevel="0" collapsed="false"/>
    <row r="151" customFormat="false" ht="19.5" hidden="false" customHeight="true" outlineLevel="0" collapsed="false"/>
    <row r="152" customFormat="false" ht="19.5" hidden="false" customHeight="true" outlineLevel="0" collapsed="false"/>
    <row r="153" customFormat="false" ht="19.5" hidden="false" customHeight="true" outlineLevel="0" collapsed="false"/>
    <row r="154" customFormat="false" ht="19.5" hidden="false" customHeight="true" outlineLevel="0" collapsed="false"/>
    <row r="155" customFormat="false" ht="19.5" hidden="false" customHeight="true" outlineLevel="0" collapsed="false"/>
    <row r="156" customFormat="false" ht="19.5" hidden="false" customHeight="true" outlineLevel="0" collapsed="false"/>
    <row r="157" customFormat="false" ht="19.5" hidden="false" customHeight="true" outlineLevel="0" collapsed="false"/>
    <row r="158" customFormat="false" ht="19.5" hidden="false" customHeight="true" outlineLevel="0" collapsed="false"/>
    <row r="159" customFormat="false" ht="19.5" hidden="false" customHeight="true" outlineLevel="0" collapsed="false"/>
    <row r="160" customFormat="false" ht="19.5" hidden="false" customHeight="true" outlineLevel="0" collapsed="false"/>
    <row r="161" customFormat="false" ht="19.5" hidden="false" customHeight="true" outlineLevel="0" collapsed="false"/>
    <row r="162" customFormat="false" ht="19.5" hidden="false" customHeight="true" outlineLevel="0" collapsed="false"/>
    <row r="163" customFormat="false" ht="19.5" hidden="false" customHeight="true" outlineLevel="0" collapsed="false"/>
    <row r="164" customFormat="false" ht="19.5" hidden="false" customHeight="true" outlineLevel="0" collapsed="false"/>
    <row r="165" customFormat="false" ht="19.5" hidden="false" customHeight="true" outlineLevel="0" collapsed="false"/>
    <row r="166" customFormat="false" ht="19.5" hidden="false" customHeight="true" outlineLevel="0" collapsed="false"/>
    <row r="167" customFormat="false" ht="19.5" hidden="false" customHeight="true" outlineLevel="0" collapsed="false"/>
    <row r="168" customFormat="false" ht="19.5" hidden="false" customHeight="true" outlineLevel="0" collapsed="false"/>
    <row r="169" customFormat="false" ht="19.5" hidden="false" customHeight="true" outlineLevel="0" collapsed="false"/>
    <row r="170" customFormat="false" ht="19.5" hidden="false" customHeight="true" outlineLevel="0" collapsed="false"/>
    <row r="171" customFormat="false" ht="19.5" hidden="false" customHeight="true" outlineLevel="0" collapsed="false"/>
    <row r="172" customFormat="false" ht="19.5" hidden="false" customHeight="true" outlineLevel="0" collapsed="false"/>
    <row r="173" customFormat="false" ht="19.5" hidden="false" customHeight="true" outlineLevel="0" collapsed="false"/>
    <row r="174" customFormat="false" ht="19.5" hidden="false" customHeight="true" outlineLevel="0" collapsed="false"/>
    <row r="175" customFormat="false" ht="19.5" hidden="false" customHeight="true" outlineLevel="0" collapsed="false"/>
    <row r="176" customFormat="false" ht="19.5" hidden="false" customHeight="true" outlineLevel="0" collapsed="false"/>
    <row r="177" customFormat="false" ht="19.5" hidden="false" customHeight="true" outlineLevel="0" collapsed="false"/>
    <row r="178" customFormat="false" ht="19.5" hidden="false" customHeight="true" outlineLevel="0" collapsed="false"/>
    <row r="179" customFormat="false" ht="19.5" hidden="false" customHeight="true" outlineLevel="0" collapsed="false"/>
    <row r="180" customFormat="false" ht="19.5" hidden="false" customHeight="true" outlineLevel="0" collapsed="false"/>
    <row r="181" customFormat="false" ht="19.5" hidden="false" customHeight="true" outlineLevel="0" collapsed="false"/>
    <row r="182" customFormat="false" ht="19.5" hidden="false" customHeight="true" outlineLevel="0" collapsed="false"/>
    <row r="183" customFormat="false" ht="19.5" hidden="false" customHeight="true" outlineLevel="0" collapsed="false"/>
    <row r="184" customFormat="false" ht="19.5" hidden="false" customHeight="true" outlineLevel="0" collapsed="false"/>
    <row r="185" customFormat="false" ht="19.5" hidden="false" customHeight="true" outlineLevel="0" collapsed="false"/>
    <row r="186" customFormat="false" ht="19.5" hidden="false" customHeight="true" outlineLevel="0" collapsed="false"/>
    <row r="187" customFormat="false" ht="19.5" hidden="false" customHeight="true" outlineLevel="0" collapsed="false"/>
    <row r="188" customFormat="false" ht="19.5" hidden="false" customHeight="true" outlineLevel="0" collapsed="false"/>
    <row r="189" customFormat="false" ht="19.5" hidden="false" customHeight="true" outlineLevel="0" collapsed="false"/>
    <row r="190" customFormat="false" ht="19.5" hidden="false" customHeight="true" outlineLevel="0" collapsed="false"/>
    <row r="191" customFormat="false" ht="19.5" hidden="false" customHeight="true" outlineLevel="0" collapsed="false"/>
    <row r="192" customFormat="false" ht="19.5" hidden="false" customHeight="true" outlineLevel="0" collapsed="false"/>
    <row r="193" customFormat="false" ht="19.5" hidden="false" customHeight="true" outlineLevel="0" collapsed="false"/>
    <row r="194" customFormat="false" ht="19.5" hidden="false" customHeight="true" outlineLevel="0" collapsed="false"/>
    <row r="195" customFormat="false" ht="19.5" hidden="false" customHeight="true" outlineLevel="0" collapsed="false"/>
    <row r="196" customFormat="false" ht="19.5" hidden="false" customHeight="true" outlineLevel="0" collapsed="false"/>
    <row r="197" customFormat="false" ht="19.5" hidden="false" customHeight="true" outlineLevel="0" collapsed="false"/>
    <row r="198" customFormat="false" ht="19.5" hidden="false" customHeight="true" outlineLevel="0" collapsed="false"/>
    <row r="199" customFormat="false" ht="19.5" hidden="false" customHeight="true" outlineLevel="0" collapsed="false"/>
  </sheetData>
  <mergeCells count="6">
    <mergeCell ref="B1:H1"/>
    <mergeCell ref="B4:H4"/>
    <mergeCell ref="B14:H14"/>
    <mergeCell ref="B29:H29"/>
    <mergeCell ref="B40:H40"/>
    <mergeCell ref="B47:H47"/>
  </mergeCells>
  <dataValidations count="2">
    <dataValidation allowBlank="true" errorStyle="stop" operator="between" showDropDown="false" showErrorMessage="false" showInputMessage="false" sqref="G5:G200" type="list">
      <formula1>"✅ Done,🔄 In Progress,❌ Not Started,⏸ Blocked"</formula1>
      <formula2>0</formula2>
    </dataValidation>
    <dataValidation allowBlank="true" errorStyle="stop" operator="between" showDropDown="false" showErrorMessage="false" showInputMessage="false" sqref="F5:F200" type="list">
      <formula1>"🔴 P1 Critical,🟠 P2 High,🟡 P3 Medium,🟢 P4 Low"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74C3C"/>
    <pageSetUpPr fitToPage="false"/>
  </sheetPr>
  <dimension ref="A1:J9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6"/>
    <col collapsed="false" customWidth="true" hidden="false" outlineLevel="0" max="3" min="3" style="0" width="14"/>
    <col collapsed="false" customWidth="true" hidden="false" outlineLevel="0" max="4" min="4" style="0" width="30"/>
    <col collapsed="false" customWidth="true" hidden="false" outlineLevel="0" max="5" min="5" style="0" width="14"/>
    <col collapsed="false" customWidth="true" hidden="false" outlineLevel="0" max="7" min="6" style="0" width="12"/>
    <col collapsed="false" customWidth="true" hidden="false" outlineLevel="0" max="8" min="8" style="0" width="16"/>
    <col collapsed="false" customWidth="true" hidden="false" outlineLevel="0" max="9" min="9" style="0" width="14"/>
    <col collapsed="false" customWidth="true" hidden="false" outlineLevel="0" max="10" min="10" style="0" width="2"/>
  </cols>
  <sheetData>
    <row r="1" customFormat="false" ht="19.5" hidden="false" customHeight="true" outlineLevel="0" collapsed="false">
      <c r="A1" s="1"/>
      <c r="B1" s="31" t="s">
        <v>181</v>
      </c>
      <c r="C1" s="31"/>
      <c r="D1" s="31"/>
      <c r="E1" s="31"/>
      <c r="F1" s="31"/>
      <c r="G1" s="31"/>
      <c r="H1" s="31"/>
      <c r="I1" s="31"/>
      <c r="J1" s="1"/>
    </row>
    <row r="2" customFormat="false" ht="19.5" hidden="false" customHeight="true" outlineLevel="0" collapsed="false"/>
    <row r="3" customFormat="false" ht="19.5" hidden="false" customHeight="true" outlineLevel="0" collapsed="false">
      <c r="B3" s="6" t="s">
        <v>104</v>
      </c>
      <c r="C3" s="6" t="s">
        <v>182</v>
      </c>
      <c r="D3" s="6" t="s">
        <v>183</v>
      </c>
      <c r="E3" s="6" t="s">
        <v>184</v>
      </c>
      <c r="F3" s="6" t="s">
        <v>107</v>
      </c>
      <c r="G3" s="6" t="s">
        <v>7</v>
      </c>
      <c r="H3" s="6" t="s">
        <v>185</v>
      </c>
      <c r="I3" s="6" t="s">
        <v>186</v>
      </c>
    </row>
    <row r="4" customFormat="false" ht="19.5" hidden="false" customHeight="true" outlineLevel="0" collapsed="false">
      <c r="B4" s="9" t="n">
        <v>1</v>
      </c>
      <c r="C4" s="24"/>
      <c r="D4" s="24"/>
      <c r="E4" s="24"/>
      <c r="F4" s="24"/>
      <c r="G4" s="24"/>
      <c r="H4" s="24"/>
      <c r="I4" s="24"/>
    </row>
    <row r="5" customFormat="false" ht="19.5" hidden="false" customHeight="true" outlineLevel="0" collapsed="false">
      <c r="B5" s="14" t="n">
        <v>2</v>
      </c>
      <c r="C5" s="27"/>
      <c r="D5" s="27"/>
      <c r="E5" s="27"/>
      <c r="F5" s="27"/>
      <c r="G5" s="27"/>
      <c r="H5" s="27"/>
      <c r="I5" s="27"/>
    </row>
    <row r="6" customFormat="false" ht="19.5" hidden="false" customHeight="true" outlineLevel="0" collapsed="false">
      <c r="B6" s="9" t="n">
        <v>3</v>
      </c>
      <c r="C6" s="24"/>
      <c r="D6" s="24"/>
      <c r="E6" s="24"/>
      <c r="F6" s="24"/>
      <c r="G6" s="24"/>
      <c r="H6" s="24"/>
      <c r="I6" s="24"/>
    </row>
    <row r="7" customFormat="false" ht="19.5" hidden="false" customHeight="true" outlineLevel="0" collapsed="false">
      <c r="B7" s="14" t="n">
        <v>4</v>
      </c>
      <c r="C7" s="27"/>
      <c r="D7" s="27"/>
      <c r="E7" s="27"/>
      <c r="F7" s="27"/>
      <c r="G7" s="27"/>
      <c r="H7" s="27"/>
      <c r="I7" s="27"/>
    </row>
    <row r="8" customFormat="false" ht="19.5" hidden="false" customHeight="true" outlineLevel="0" collapsed="false">
      <c r="B8" s="9" t="n">
        <v>5</v>
      </c>
      <c r="C8" s="24"/>
      <c r="D8" s="24"/>
      <c r="E8" s="24"/>
      <c r="F8" s="24"/>
      <c r="G8" s="24"/>
      <c r="H8" s="24"/>
      <c r="I8" s="24"/>
    </row>
    <row r="9" customFormat="false" ht="19.5" hidden="false" customHeight="true" outlineLevel="0" collapsed="false">
      <c r="B9" s="14" t="n">
        <v>6</v>
      </c>
      <c r="C9" s="27"/>
      <c r="D9" s="27"/>
      <c r="E9" s="27"/>
      <c r="F9" s="27"/>
      <c r="G9" s="27"/>
      <c r="H9" s="27"/>
      <c r="I9" s="27"/>
    </row>
    <row r="10" customFormat="false" ht="19.5" hidden="false" customHeight="true" outlineLevel="0" collapsed="false">
      <c r="B10" s="9" t="n">
        <v>7</v>
      </c>
      <c r="C10" s="24"/>
      <c r="D10" s="24"/>
      <c r="E10" s="24"/>
      <c r="F10" s="24"/>
      <c r="G10" s="24"/>
      <c r="H10" s="24"/>
      <c r="I10" s="24"/>
    </row>
    <row r="11" customFormat="false" ht="19.5" hidden="false" customHeight="true" outlineLevel="0" collapsed="false">
      <c r="B11" s="14" t="n">
        <v>8</v>
      </c>
      <c r="C11" s="27"/>
      <c r="D11" s="27"/>
      <c r="E11" s="27"/>
      <c r="F11" s="27"/>
      <c r="G11" s="27"/>
      <c r="H11" s="27"/>
      <c r="I11" s="27"/>
    </row>
    <row r="12" customFormat="false" ht="19.5" hidden="false" customHeight="true" outlineLevel="0" collapsed="false">
      <c r="B12" s="9" t="n">
        <v>9</v>
      </c>
      <c r="C12" s="24"/>
      <c r="D12" s="24"/>
      <c r="E12" s="24"/>
      <c r="F12" s="24"/>
      <c r="G12" s="24"/>
      <c r="H12" s="24"/>
      <c r="I12" s="24"/>
    </row>
    <row r="13" customFormat="false" ht="19.5" hidden="false" customHeight="true" outlineLevel="0" collapsed="false">
      <c r="B13" s="14" t="n">
        <v>10</v>
      </c>
      <c r="C13" s="27"/>
      <c r="D13" s="27"/>
      <c r="E13" s="27"/>
      <c r="F13" s="27"/>
      <c r="G13" s="27"/>
      <c r="H13" s="27"/>
      <c r="I13" s="27"/>
    </row>
    <row r="14" customFormat="false" ht="19.5" hidden="false" customHeight="true" outlineLevel="0" collapsed="false">
      <c r="B14" s="9" t="n">
        <v>11</v>
      </c>
      <c r="C14" s="24"/>
      <c r="D14" s="24"/>
      <c r="E14" s="24"/>
      <c r="F14" s="24"/>
      <c r="G14" s="24"/>
      <c r="H14" s="24"/>
      <c r="I14" s="24"/>
    </row>
    <row r="15" customFormat="false" ht="19.5" hidden="false" customHeight="true" outlineLevel="0" collapsed="false">
      <c r="B15" s="14" t="n">
        <v>12</v>
      </c>
      <c r="C15" s="27"/>
      <c r="D15" s="27"/>
      <c r="E15" s="27"/>
      <c r="F15" s="27"/>
      <c r="G15" s="27"/>
      <c r="H15" s="27"/>
      <c r="I15" s="27"/>
    </row>
    <row r="16" customFormat="false" ht="19.5" hidden="false" customHeight="true" outlineLevel="0" collapsed="false">
      <c r="B16" s="9" t="n">
        <v>13</v>
      </c>
      <c r="C16" s="24"/>
      <c r="D16" s="24"/>
      <c r="E16" s="24"/>
      <c r="F16" s="24"/>
      <c r="G16" s="24"/>
      <c r="H16" s="24"/>
      <c r="I16" s="24"/>
    </row>
    <row r="17" customFormat="false" ht="19.5" hidden="false" customHeight="true" outlineLevel="0" collapsed="false">
      <c r="B17" s="14" t="n">
        <v>14</v>
      </c>
      <c r="C17" s="27"/>
      <c r="D17" s="27"/>
      <c r="E17" s="27"/>
      <c r="F17" s="27"/>
      <c r="G17" s="27"/>
      <c r="H17" s="27"/>
      <c r="I17" s="27"/>
    </row>
    <row r="18" customFormat="false" ht="19.5" hidden="false" customHeight="true" outlineLevel="0" collapsed="false">
      <c r="B18" s="9" t="n">
        <v>15</v>
      </c>
      <c r="C18" s="24"/>
      <c r="D18" s="24"/>
      <c r="E18" s="24"/>
      <c r="F18" s="24"/>
      <c r="G18" s="24"/>
      <c r="H18" s="24"/>
      <c r="I18" s="24"/>
    </row>
    <row r="19" customFormat="false" ht="19.5" hidden="false" customHeight="true" outlineLevel="0" collapsed="false">
      <c r="B19" s="14" t="n">
        <v>16</v>
      </c>
      <c r="C19" s="27"/>
      <c r="D19" s="27"/>
      <c r="E19" s="27"/>
      <c r="F19" s="27"/>
      <c r="G19" s="27"/>
      <c r="H19" s="27"/>
      <c r="I19" s="27"/>
    </row>
    <row r="20" customFormat="false" ht="19.5" hidden="false" customHeight="true" outlineLevel="0" collapsed="false">
      <c r="B20" s="9" t="n">
        <v>17</v>
      </c>
      <c r="C20" s="24"/>
      <c r="D20" s="24"/>
      <c r="E20" s="24"/>
      <c r="F20" s="24"/>
      <c r="G20" s="24"/>
      <c r="H20" s="24"/>
      <c r="I20" s="24"/>
    </row>
    <row r="21" customFormat="false" ht="19.5" hidden="false" customHeight="true" outlineLevel="0" collapsed="false">
      <c r="B21" s="14" t="n">
        <v>18</v>
      </c>
      <c r="C21" s="27"/>
      <c r="D21" s="27"/>
      <c r="E21" s="27"/>
      <c r="F21" s="27"/>
      <c r="G21" s="27"/>
      <c r="H21" s="27"/>
      <c r="I21" s="27"/>
    </row>
    <row r="22" customFormat="false" ht="19.5" hidden="false" customHeight="true" outlineLevel="0" collapsed="false">
      <c r="B22" s="9" t="n">
        <v>19</v>
      </c>
      <c r="C22" s="24"/>
      <c r="D22" s="24"/>
      <c r="E22" s="24"/>
      <c r="F22" s="24"/>
      <c r="G22" s="24"/>
      <c r="H22" s="24"/>
      <c r="I22" s="24"/>
    </row>
    <row r="23" customFormat="false" ht="19.5" hidden="false" customHeight="true" outlineLevel="0" collapsed="false"/>
    <row r="24" customFormat="false" ht="19.5" hidden="false" customHeight="true" outlineLevel="0" collapsed="false"/>
    <row r="25" customFormat="false" ht="19.5" hidden="false" customHeight="true" outlineLevel="0" collapsed="false"/>
    <row r="26" customFormat="false" ht="19.5" hidden="false" customHeight="true" outlineLevel="0" collapsed="false"/>
    <row r="27" customFormat="false" ht="19.5" hidden="false" customHeight="true" outlineLevel="0" collapsed="false"/>
    <row r="28" customFormat="false" ht="19.5" hidden="false" customHeight="true" outlineLevel="0" collapsed="false"/>
    <row r="29" customFormat="false" ht="19.5" hidden="false" customHeight="true" outlineLevel="0" collapsed="false"/>
    <row r="30" customFormat="false" ht="19.5" hidden="false" customHeight="true" outlineLevel="0" collapsed="false"/>
    <row r="31" customFormat="false" ht="19.5" hidden="false" customHeight="true" outlineLevel="0" collapsed="false"/>
    <row r="32" customFormat="false" ht="19.5" hidden="false" customHeight="true" outlineLevel="0" collapsed="false"/>
    <row r="33" customFormat="false" ht="19.5" hidden="false" customHeight="true" outlineLevel="0" collapsed="false"/>
    <row r="34" customFormat="false" ht="19.5" hidden="false" customHeight="true" outlineLevel="0" collapsed="false"/>
    <row r="35" customFormat="false" ht="19.5" hidden="false" customHeight="true" outlineLevel="0" collapsed="false"/>
    <row r="36" customFormat="false" ht="19.5" hidden="false" customHeight="true" outlineLevel="0" collapsed="false"/>
    <row r="37" customFormat="false" ht="19.5" hidden="false" customHeight="true" outlineLevel="0" collapsed="false"/>
    <row r="38" customFormat="false" ht="19.5" hidden="false" customHeight="true" outlineLevel="0" collapsed="false"/>
    <row r="39" customFormat="false" ht="19.5" hidden="false" customHeight="true" outlineLevel="0" collapsed="false"/>
    <row r="40" customFormat="false" ht="19.5" hidden="false" customHeight="true" outlineLevel="0" collapsed="false"/>
    <row r="41" customFormat="false" ht="19.5" hidden="false" customHeight="true" outlineLevel="0" collapsed="false"/>
    <row r="42" customFormat="false" ht="19.5" hidden="false" customHeight="true" outlineLevel="0" collapsed="false"/>
    <row r="43" customFormat="false" ht="19.5" hidden="false" customHeight="true" outlineLevel="0" collapsed="false"/>
    <row r="44" customFormat="false" ht="19.5" hidden="false" customHeight="true" outlineLevel="0" collapsed="false"/>
    <row r="45" customFormat="false" ht="19.5" hidden="false" customHeight="true" outlineLevel="0" collapsed="false"/>
    <row r="46" customFormat="false" ht="19.5" hidden="false" customHeight="true" outlineLevel="0" collapsed="false"/>
    <row r="47" customFormat="false" ht="19.5" hidden="false" customHeight="true" outlineLevel="0" collapsed="false"/>
    <row r="48" customFormat="false" ht="19.5" hidden="false" customHeight="true" outlineLevel="0" collapsed="false"/>
    <row r="49" customFormat="false" ht="19.5" hidden="false" customHeight="true" outlineLevel="0" collapsed="false"/>
    <row r="50" customFormat="false" ht="19.5" hidden="false" customHeight="true" outlineLevel="0" collapsed="false"/>
    <row r="51" customFormat="false" ht="19.5" hidden="false" customHeight="true" outlineLevel="0" collapsed="false"/>
    <row r="52" customFormat="false" ht="19.5" hidden="false" customHeight="true" outlineLevel="0" collapsed="false"/>
    <row r="53" customFormat="false" ht="19.5" hidden="false" customHeight="true" outlineLevel="0" collapsed="false"/>
    <row r="54" customFormat="false" ht="19.5" hidden="false" customHeight="true" outlineLevel="0" collapsed="false"/>
    <row r="55" customFormat="false" ht="19.5" hidden="false" customHeight="true" outlineLevel="0" collapsed="false"/>
    <row r="56" customFormat="false" ht="19.5" hidden="false" customHeight="true" outlineLevel="0" collapsed="false"/>
    <row r="57" customFormat="false" ht="19.5" hidden="false" customHeight="true" outlineLevel="0" collapsed="false"/>
    <row r="58" customFormat="false" ht="19.5" hidden="false" customHeight="true" outlineLevel="0" collapsed="false"/>
    <row r="59" customFormat="false" ht="19.5" hidden="false" customHeight="true" outlineLevel="0" collapsed="false"/>
    <row r="60" customFormat="false" ht="19.5" hidden="false" customHeight="true" outlineLevel="0" collapsed="false"/>
    <row r="61" customFormat="false" ht="19.5" hidden="false" customHeight="true" outlineLevel="0" collapsed="false"/>
    <row r="62" customFormat="false" ht="19.5" hidden="false" customHeight="true" outlineLevel="0" collapsed="false"/>
    <row r="63" customFormat="false" ht="19.5" hidden="false" customHeight="true" outlineLevel="0" collapsed="false"/>
    <row r="64" customFormat="false" ht="19.5" hidden="false" customHeight="true" outlineLevel="0" collapsed="false"/>
    <row r="65" customFormat="false" ht="19.5" hidden="false" customHeight="true" outlineLevel="0" collapsed="false"/>
    <row r="66" customFormat="false" ht="19.5" hidden="false" customHeight="true" outlineLevel="0" collapsed="false"/>
    <row r="67" customFormat="false" ht="19.5" hidden="false" customHeight="true" outlineLevel="0" collapsed="false"/>
    <row r="68" customFormat="false" ht="19.5" hidden="false" customHeight="true" outlineLevel="0" collapsed="false"/>
    <row r="69" customFormat="false" ht="19.5" hidden="false" customHeight="true" outlineLevel="0" collapsed="false"/>
    <row r="70" customFormat="false" ht="19.5" hidden="false" customHeight="true" outlineLevel="0" collapsed="false"/>
    <row r="71" customFormat="false" ht="19.5" hidden="false" customHeight="true" outlineLevel="0" collapsed="false"/>
    <row r="72" customFormat="false" ht="19.5" hidden="false" customHeight="true" outlineLevel="0" collapsed="false"/>
    <row r="73" customFormat="false" ht="19.5" hidden="false" customHeight="true" outlineLevel="0" collapsed="false"/>
    <row r="74" customFormat="false" ht="19.5" hidden="false" customHeight="true" outlineLevel="0" collapsed="false"/>
    <row r="75" customFormat="false" ht="19.5" hidden="false" customHeight="true" outlineLevel="0" collapsed="false"/>
    <row r="76" customFormat="false" ht="19.5" hidden="false" customHeight="true" outlineLevel="0" collapsed="false"/>
    <row r="77" customFormat="false" ht="19.5" hidden="false" customHeight="true" outlineLevel="0" collapsed="false"/>
    <row r="78" customFormat="false" ht="19.5" hidden="false" customHeight="true" outlineLevel="0" collapsed="false"/>
    <row r="79" customFormat="false" ht="19.5" hidden="false" customHeight="true" outlineLevel="0" collapsed="false"/>
    <row r="80" customFormat="false" ht="19.5" hidden="false" customHeight="true" outlineLevel="0" collapsed="false"/>
    <row r="81" customFormat="false" ht="19.5" hidden="false" customHeight="true" outlineLevel="0" collapsed="false"/>
    <row r="82" customFormat="false" ht="19.5" hidden="false" customHeight="true" outlineLevel="0" collapsed="false"/>
    <row r="83" customFormat="false" ht="19.5" hidden="false" customHeight="true" outlineLevel="0" collapsed="false"/>
    <row r="84" customFormat="false" ht="19.5" hidden="false" customHeight="true" outlineLevel="0" collapsed="false"/>
    <row r="85" customFormat="false" ht="19.5" hidden="false" customHeight="true" outlineLevel="0" collapsed="false"/>
    <row r="86" customFormat="false" ht="19.5" hidden="false" customHeight="true" outlineLevel="0" collapsed="false"/>
    <row r="87" customFormat="false" ht="19.5" hidden="false" customHeight="true" outlineLevel="0" collapsed="false"/>
    <row r="88" customFormat="false" ht="19.5" hidden="false" customHeight="true" outlineLevel="0" collapsed="false"/>
    <row r="89" customFormat="false" ht="19.5" hidden="false" customHeight="true" outlineLevel="0" collapsed="false"/>
    <row r="90" customFormat="false" ht="19.5" hidden="false" customHeight="true" outlineLevel="0" collapsed="false"/>
    <row r="91" customFormat="false" ht="19.5" hidden="false" customHeight="true" outlineLevel="0" collapsed="false"/>
    <row r="92" customFormat="false" ht="19.5" hidden="false" customHeight="true" outlineLevel="0" collapsed="false"/>
    <row r="93" customFormat="false" ht="19.5" hidden="false" customHeight="true" outlineLevel="0" collapsed="false"/>
    <row r="94" customFormat="false" ht="19.5" hidden="false" customHeight="true" outlineLevel="0" collapsed="false"/>
    <row r="95" customFormat="false" ht="19.5" hidden="false" customHeight="true" outlineLevel="0" collapsed="false"/>
    <row r="96" customFormat="false" ht="19.5" hidden="false" customHeight="true" outlineLevel="0" collapsed="false"/>
    <row r="97" customFormat="false" ht="19.5" hidden="false" customHeight="true" outlineLevel="0" collapsed="false"/>
    <row r="98" customFormat="false" ht="19.5" hidden="false" customHeight="true" outlineLevel="0" collapsed="false"/>
    <row r="99" customFormat="false" ht="19.5" hidden="false" customHeight="true" outlineLevel="0" collapsed="false"/>
  </sheetData>
  <mergeCells count="1">
    <mergeCell ref="B1:I1"/>
  </mergeCells>
  <dataValidations count="2">
    <dataValidation allowBlank="true" errorStyle="stop" operator="between" showDropDown="false" showErrorMessage="false" showInputMessage="false" sqref="G4:G50" type="list">
      <formula1>"✅ Fixed,🔄 In Progress,❌ Not Fixed,⏸ Wont Fix"</formula1>
      <formula2>0</formula2>
    </dataValidation>
    <dataValidation allowBlank="true" errorStyle="stop" operator="between" showDropDown="false" showErrorMessage="false" showInputMessage="false" sqref="F4:F50" type="list">
      <formula1>"🔴 P1 Critical,🟠 P2 High,🟡 P3 Medium,🟢 P4 Low"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CD4"/>
    <pageSetUpPr fitToPage="false"/>
  </sheetPr>
  <dimension ref="A1:F7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0"/>
    <col collapsed="false" customWidth="true" hidden="false" outlineLevel="0" max="5" min="3" style="0" width="14"/>
    <col collapsed="false" customWidth="true" hidden="false" outlineLevel="0" max="6" min="6" style="0" width="2"/>
  </cols>
  <sheetData>
    <row r="1" customFormat="false" ht="19.5" hidden="false" customHeight="true" outlineLevel="0" collapsed="false">
      <c r="A1" s="1"/>
      <c r="B1" s="31" t="s">
        <v>187</v>
      </c>
      <c r="C1" s="31"/>
      <c r="D1" s="31"/>
      <c r="E1" s="31"/>
      <c r="F1" s="1"/>
    </row>
    <row r="2" customFormat="false" ht="19.5" hidden="false" customHeight="true" outlineLevel="0" collapsed="false"/>
    <row r="3" customFormat="false" ht="19.5" hidden="false" customHeight="true" outlineLevel="0" collapsed="false">
      <c r="B3" s="6" t="s">
        <v>188</v>
      </c>
      <c r="C3" s="6" t="s">
        <v>182</v>
      </c>
      <c r="D3" s="6" t="s">
        <v>189</v>
      </c>
      <c r="E3" s="6" t="s">
        <v>50</v>
      </c>
    </row>
    <row r="4" customFormat="false" ht="24" hidden="false" customHeight="true" outlineLevel="0" collapsed="false">
      <c r="B4" s="36" t="s">
        <v>190</v>
      </c>
      <c r="C4" s="36"/>
      <c r="D4" s="36"/>
      <c r="E4" s="36"/>
      <c r="F4" s="32"/>
    </row>
    <row r="5" customFormat="false" ht="19.5" hidden="false" customHeight="true" outlineLevel="0" collapsed="false">
      <c r="B5" s="27" t="s">
        <v>191</v>
      </c>
      <c r="C5" s="14" t="s">
        <v>192</v>
      </c>
      <c r="D5" s="41" t="s">
        <v>193</v>
      </c>
      <c r="E5" s="15"/>
    </row>
    <row r="6" customFormat="false" ht="19.5" hidden="false" customHeight="true" outlineLevel="0" collapsed="false">
      <c r="B6" s="24" t="s">
        <v>194</v>
      </c>
      <c r="C6" s="9" t="s">
        <v>192</v>
      </c>
      <c r="D6" s="41" t="s">
        <v>193</v>
      </c>
      <c r="E6" s="10"/>
    </row>
    <row r="7" customFormat="false" ht="19.5" hidden="false" customHeight="true" outlineLevel="0" collapsed="false">
      <c r="B7" s="27" t="s">
        <v>195</v>
      </c>
      <c r="C7" s="14" t="s">
        <v>192</v>
      </c>
      <c r="D7" s="41" t="s">
        <v>193</v>
      </c>
      <c r="E7" s="15"/>
    </row>
    <row r="8" customFormat="false" ht="19.5" hidden="false" customHeight="true" outlineLevel="0" collapsed="false">
      <c r="B8" s="24" t="s">
        <v>196</v>
      </c>
      <c r="C8" s="9" t="s">
        <v>192</v>
      </c>
      <c r="D8" s="41" t="s">
        <v>193</v>
      </c>
      <c r="E8" s="10"/>
    </row>
    <row r="9" customFormat="false" ht="19.5" hidden="false" customHeight="true" outlineLevel="0" collapsed="false">
      <c r="B9" s="27" t="s">
        <v>197</v>
      </c>
      <c r="C9" s="14" t="s">
        <v>192</v>
      </c>
      <c r="D9" s="41" t="s">
        <v>193</v>
      </c>
      <c r="E9" s="15"/>
    </row>
    <row r="10" customFormat="false" ht="19.5" hidden="false" customHeight="true" outlineLevel="0" collapsed="false">
      <c r="B10" s="24" t="s">
        <v>198</v>
      </c>
      <c r="C10" s="9" t="s">
        <v>110</v>
      </c>
      <c r="D10" s="41" t="s">
        <v>193</v>
      </c>
      <c r="E10" s="10"/>
    </row>
    <row r="11" customFormat="false" ht="19.5" hidden="false" customHeight="true" outlineLevel="0" collapsed="false">
      <c r="B11" s="27" t="s">
        <v>199</v>
      </c>
      <c r="C11" s="14" t="s">
        <v>110</v>
      </c>
      <c r="D11" s="41" t="s">
        <v>193</v>
      </c>
      <c r="E11" s="15"/>
    </row>
    <row r="12" customFormat="false" ht="19.5" hidden="false" customHeight="true" outlineLevel="0" collapsed="false">
      <c r="B12" s="24" t="s">
        <v>200</v>
      </c>
      <c r="C12" s="9" t="s">
        <v>110</v>
      </c>
      <c r="D12" s="41" t="s">
        <v>193</v>
      </c>
      <c r="E12" s="10"/>
    </row>
    <row r="13" customFormat="false" ht="19.5" hidden="false" customHeight="true" outlineLevel="0" collapsed="false">
      <c r="B13" s="27" t="s">
        <v>201</v>
      </c>
      <c r="C13" s="14" t="s">
        <v>110</v>
      </c>
      <c r="D13" s="41" t="s">
        <v>193</v>
      </c>
      <c r="E13" s="15"/>
    </row>
    <row r="14" customFormat="false" ht="19.5" hidden="false" customHeight="true" outlineLevel="0" collapsed="false">
      <c r="B14" s="24" t="s">
        <v>202</v>
      </c>
      <c r="C14" s="9" t="s">
        <v>110</v>
      </c>
      <c r="D14" s="41" t="s">
        <v>193</v>
      </c>
      <c r="E14" s="10"/>
    </row>
    <row r="15" customFormat="false" ht="19.5" hidden="false" customHeight="true" outlineLevel="0" collapsed="false">
      <c r="B15" s="27" t="s">
        <v>203</v>
      </c>
      <c r="C15" s="14" t="s">
        <v>110</v>
      </c>
      <c r="D15" s="41" t="s">
        <v>193</v>
      </c>
      <c r="E15" s="15"/>
    </row>
    <row r="16" customFormat="false" ht="19.5" hidden="false" customHeight="true" outlineLevel="0" collapsed="false">
      <c r="B16" s="24" t="s">
        <v>204</v>
      </c>
      <c r="C16" s="9" t="s">
        <v>205</v>
      </c>
      <c r="D16" s="41" t="s">
        <v>193</v>
      </c>
      <c r="E16" s="10"/>
    </row>
    <row r="17" customFormat="false" ht="24" hidden="false" customHeight="true" outlineLevel="0" collapsed="false">
      <c r="B17" s="36" t="s">
        <v>206</v>
      </c>
      <c r="C17" s="36"/>
      <c r="D17" s="36"/>
      <c r="E17" s="36"/>
      <c r="F17" s="32"/>
    </row>
    <row r="18" customFormat="false" ht="19.5" hidden="false" customHeight="true" outlineLevel="0" collapsed="false">
      <c r="B18" s="24" t="s">
        <v>207</v>
      </c>
      <c r="C18" s="9" t="s">
        <v>127</v>
      </c>
      <c r="D18" s="42" t="s">
        <v>208</v>
      </c>
      <c r="E18" s="10"/>
    </row>
    <row r="19" customFormat="false" ht="19.5" hidden="false" customHeight="true" outlineLevel="0" collapsed="false">
      <c r="B19" s="27" t="s">
        <v>209</v>
      </c>
      <c r="C19" s="14" t="s">
        <v>127</v>
      </c>
      <c r="D19" s="42" t="s">
        <v>208</v>
      </c>
      <c r="E19" s="15"/>
    </row>
    <row r="20" customFormat="false" ht="19.5" hidden="false" customHeight="true" outlineLevel="0" collapsed="false">
      <c r="B20" s="24" t="s">
        <v>210</v>
      </c>
      <c r="C20" s="9" t="s">
        <v>127</v>
      </c>
      <c r="D20" s="42" t="s">
        <v>208</v>
      </c>
      <c r="E20" s="10"/>
    </row>
    <row r="21" customFormat="false" ht="19.5" hidden="false" customHeight="true" outlineLevel="0" collapsed="false">
      <c r="B21" s="27" t="s">
        <v>211</v>
      </c>
      <c r="C21" s="14" t="s">
        <v>127</v>
      </c>
      <c r="D21" s="42" t="s">
        <v>208</v>
      </c>
      <c r="E21" s="15"/>
    </row>
    <row r="22" customFormat="false" ht="19.5" hidden="false" customHeight="true" outlineLevel="0" collapsed="false">
      <c r="B22" s="24" t="s">
        <v>212</v>
      </c>
      <c r="C22" s="9" t="s">
        <v>127</v>
      </c>
      <c r="D22" s="42" t="s">
        <v>208</v>
      </c>
      <c r="E22" s="10"/>
    </row>
    <row r="23" customFormat="false" ht="19.5" hidden="false" customHeight="true" outlineLevel="0" collapsed="false">
      <c r="B23" s="27" t="s">
        <v>213</v>
      </c>
      <c r="C23" s="14" t="s">
        <v>127</v>
      </c>
      <c r="D23" s="42" t="s">
        <v>208</v>
      </c>
      <c r="E23" s="15"/>
    </row>
    <row r="24" customFormat="false" ht="24" hidden="false" customHeight="true" outlineLevel="0" collapsed="false">
      <c r="B24" s="36" t="s">
        <v>214</v>
      </c>
      <c r="C24" s="36"/>
      <c r="D24" s="36"/>
      <c r="E24" s="36"/>
      <c r="F24" s="32"/>
    </row>
    <row r="25" customFormat="false" ht="19.5" hidden="false" customHeight="true" outlineLevel="0" collapsed="false">
      <c r="B25" s="27" t="s">
        <v>215</v>
      </c>
      <c r="C25" s="14" t="s">
        <v>146</v>
      </c>
      <c r="D25" s="42" t="s">
        <v>208</v>
      </c>
      <c r="E25" s="15"/>
    </row>
    <row r="26" customFormat="false" ht="19.5" hidden="false" customHeight="true" outlineLevel="0" collapsed="false">
      <c r="B26" s="24" t="s">
        <v>216</v>
      </c>
      <c r="C26" s="9" t="s">
        <v>146</v>
      </c>
      <c r="D26" s="42" t="s">
        <v>208</v>
      </c>
      <c r="E26" s="10"/>
    </row>
    <row r="27" customFormat="false" ht="19.5" hidden="false" customHeight="true" outlineLevel="0" collapsed="false">
      <c r="B27" s="27" t="s">
        <v>217</v>
      </c>
      <c r="C27" s="14" t="s">
        <v>146</v>
      </c>
      <c r="D27" s="42" t="s">
        <v>208</v>
      </c>
      <c r="E27" s="15"/>
    </row>
    <row r="28" customFormat="false" ht="19.5" hidden="false" customHeight="true" outlineLevel="0" collapsed="false">
      <c r="B28" s="24" t="s">
        <v>218</v>
      </c>
      <c r="C28" s="9" t="s">
        <v>146</v>
      </c>
      <c r="D28" s="42" t="s">
        <v>208</v>
      </c>
      <c r="E28" s="10"/>
    </row>
    <row r="29" customFormat="false" ht="19.5" hidden="false" customHeight="true" outlineLevel="0" collapsed="false">
      <c r="B29" s="27" t="s">
        <v>219</v>
      </c>
      <c r="C29" s="14" t="s">
        <v>146</v>
      </c>
      <c r="D29" s="42" t="s">
        <v>208</v>
      </c>
      <c r="E29" s="15"/>
    </row>
    <row r="30" customFormat="false" ht="19.5" hidden="false" customHeight="true" outlineLevel="0" collapsed="false">
      <c r="B30" s="24" t="s">
        <v>220</v>
      </c>
      <c r="C30" s="9" t="s">
        <v>146</v>
      </c>
      <c r="D30" s="42" t="s">
        <v>208</v>
      </c>
      <c r="E30" s="10"/>
    </row>
    <row r="31" customFormat="false" ht="19.5" hidden="false" customHeight="true" outlineLevel="0" collapsed="false">
      <c r="B31" s="27" t="s">
        <v>221</v>
      </c>
      <c r="C31" s="14" t="s">
        <v>146</v>
      </c>
      <c r="D31" s="42" t="s">
        <v>208</v>
      </c>
      <c r="E31" s="15"/>
    </row>
    <row r="32" customFormat="false" ht="24" hidden="false" customHeight="true" outlineLevel="0" collapsed="false">
      <c r="B32" s="36" t="s">
        <v>222</v>
      </c>
      <c r="C32" s="36"/>
      <c r="D32" s="36"/>
      <c r="E32" s="36"/>
      <c r="F32" s="32"/>
    </row>
    <row r="33" customFormat="false" ht="19.5" hidden="false" customHeight="true" outlineLevel="0" collapsed="false">
      <c r="B33" s="27" t="s">
        <v>223</v>
      </c>
      <c r="C33" s="14" t="s">
        <v>67</v>
      </c>
      <c r="D33" s="42" t="s">
        <v>208</v>
      </c>
      <c r="E33" s="15"/>
    </row>
    <row r="34" customFormat="false" ht="19.5" hidden="false" customHeight="true" outlineLevel="0" collapsed="false">
      <c r="B34" s="24" t="s">
        <v>224</v>
      </c>
      <c r="C34" s="9" t="s">
        <v>67</v>
      </c>
      <c r="D34" s="42" t="s">
        <v>208</v>
      </c>
      <c r="E34" s="10"/>
    </row>
    <row r="35" customFormat="false" ht="19.5" hidden="false" customHeight="true" outlineLevel="0" collapsed="false">
      <c r="B35" s="27" t="s">
        <v>225</v>
      </c>
      <c r="C35" s="14" t="s">
        <v>67</v>
      </c>
      <c r="D35" s="42" t="s">
        <v>208</v>
      </c>
      <c r="E35" s="15"/>
    </row>
    <row r="36" customFormat="false" ht="19.5" hidden="false" customHeight="true" outlineLevel="0" collapsed="false">
      <c r="B36" s="24" t="s">
        <v>226</v>
      </c>
      <c r="C36" s="9" t="s">
        <v>67</v>
      </c>
      <c r="D36" s="42" t="s">
        <v>208</v>
      </c>
      <c r="E36" s="10"/>
    </row>
    <row r="37" customFormat="false" ht="19.5" hidden="false" customHeight="true" outlineLevel="0" collapsed="false">
      <c r="B37" s="27" t="s">
        <v>227</v>
      </c>
      <c r="C37" s="14" t="s">
        <v>67</v>
      </c>
      <c r="D37" s="42" t="s">
        <v>208</v>
      </c>
      <c r="E37" s="15"/>
    </row>
    <row r="38" customFormat="false" ht="19.5" hidden="false" customHeight="true" outlineLevel="0" collapsed="false">
      <c r="B38" s="24" t="s">
        <v>228</v>
      </c>
      <c r="C38" s="9" t="s">
        <v>67</v>
      </c>
      <c r="D38" s="42" t="s">
        <v>208</v>
      </c>
      <c r="E38" s="10"/>
    </row>
    <row r="39" customFormat="false" ht="19.5" hidden="false" customHeight="true" outlineLevel="0" collapsed="false">
      <c r="B39" s="27" t="s">
        <v>229</v>
      </c>
      <c r="C39" s="14" t="s">
        <v>67</v>
      </c>
      <c r="D39" s="42" t="s">
        <v>208</v>
      </c>
      <c r="E39" s="15"/>
    </row>
    <row r="40" customFormat="false" ht="19.5" hidden="false" customHeight="true" outlineLevel="0" collapsed="false">
      <c r="B40" s="24" t="s">
        <v>230</v>
      </c>
      <c r="C40" s="9" t="s">
        <v>231</v>
      </c>
      <c r="D40" s="42" t="s">
        <v>208</v>
      </c>
      <c r="E40" s="10"/>
    </row>
    <row r="41" customFormat="false" ht="19.5" hidden="false" customHeight="true" outlineLevel="0" collapsed="false">
      <c r="B41" s="27" t="s">
        <v>232</v>
      </c>
      <c r="C41" s="14" t="s">
        <v>231</v>
      </c>
      <c r="D41" s="42" t="s">
        <v>208</v>
      </c>
      <c r="E41" s="15"/>
    </row>
    <row r="42" customFormat="false" ht="19.5" hidden="false" customHeight="true" outlineLevel="0" collapsed="false"/>
    <row r="43" customFormat="false" ht="19.5" hidden="false" customHeight="true" outlineLevel="0" collapsed="false"/>
    <row r="44" customFormat="false" ht="19.5" hidden="false" customHeight="true" outlineLevel="0" collapsed="false"/>
    <row r="45" customFormat="false" ht="19.5" hidden="false" customHeight="true" outlineLevel="0" collapsed="false"/>
    <row r="46" customFormat="false" ht="19.5" hidden="false" customHeight="true" outlineLevel="0" collapsed="false"/>
    <row r="47" customFormat="false" ht="19.5" hidden="false" customHeight="true" outlineLevel="0" collapsed="false"/>
    <row r="48" customFormat="false" ht="19.5" hidden="false" customHeight="true" outlineLevel="0" collapsed="false"/>
    <row r="49" customFormat="false" ht="19.5" hidden="false" customHeight="true" outlineLevel="0" collapsed="false"/>
    <row r="50" customFormat="false" ht="19.5" hidden="false" customHeight="true" outlineLevel="0" collapsed="false"/>
    <row r="51" customFormat="false" ht="19.5" hidden="false" customHeight="true" outlineLevel="0" collapsed="false"/>
    <row r="52" customFormat="false" ht="19.5" hidden="false" customHeight="true" outlineLevel="0" collapsed="false"/>
    <row r="53" customFormat="false" ht="19.5" hidden="false" customHeight="true" outlineLevel="0" collapsed="false"/>
    <row r="54" customFormat="false" ht="19.5" hidden="false" customHeight="true" outlineLevel="0" collapsed="false"/>
    <row r="55" customFormat="false" ht="19.5" hidden="false" customHeight="true" outlineLevel="0" collapsed="false"/>
    <row r="56" customFormat="false" ht="19.5" hidden="false" customHeight="true" outlineLevel="0" collapsed="false"/>
    <row r="57" customFormat="false" ht="19.5" hidden="false" customHeight="true" outlineLevel="0" collapsed="false"/>
    <row r="58" customFormat="false" ht="19.5" hidden="false" customHeight="true" outlineLevel="0" collapsed="false"/>
    <row r="59" customFormat="false" ht="19.5" hidden="false" customHeight="true" outlineLevel="0" collapsed="false"/>
    <row r="60" customFormat="false" ht="19.5" hidden="false" customHeight="true" outlineLevel="0" collapsed="false"/>
    <row r="61" customFormat="false" ht="19.5" hidden="false" customHeight="true" outlineLevel="0" collapsed="false"/>
    <row r="62" customFormat="false" ht="19.5" hidden="false" customHeight="true" outlineLevel="0" collapsed="false"/>
    <row r="63" customFormat="false" ht="19.5" hidden="false" customHeight="true" outlineLevel="0" collapsed="false"/>
    <row r="64" customFormat="false" ht="19.5" hidden="false" customHeight="true" outlineLevel="0" collapsed="false"/>
    <row r="65" customFormat="false" ht="19.5" hidden="false" customHeight="true" outlineLevel="0" collapsed="false"/>
    <row r="66" customFormat="false" ht="19.5" hidden="false" customHeight="true" outlineLevel="0" collapsed="false"/>
    <row r="67" customFormat="false" ht="19.5" hidden="false" customHeight="true" outlineLevel="0" collapsed="false"/>
    <row r="68" customFormat="false" ht="19.5" hidden="false" customHeight="true" outlineLevel="0" collapsed="false"/>
    <row r="69" customFormat="false" ht="19.5" hidden="false" customHeight="true" outlineLevel="0" collapsed="false"/>
    <row r="70" customFormat="false" ht="19.5" hidden="false" customHeight="true" outlineLevel="0" collapsed="false"/>
    <row r="71" customFormat="false" ht="19.5" hidden="false" customHeight="true" outlineLevel="0" collapsed="false"/>
    <row r="72" customFormat="false" ht="19.5" hidden="false" customHeight="true" outlineLevel="0" collapsed="false"/>
    <row r="73" customFormat="false" ht="19.5" hidden="false" customHeight="true" outlineLevel="0" collapsed="false"/>
    <row r="74" customFormat="false" ht="19.5" hidden="false" customHeight="true" outlineLevel="0" collapsed="false"/>
    <row r="75" customFormat="false" ht="19.5" hidden="false" customHeight="true" outlineLevel="0" collapsed="false"/>
    <row r="76" customFormat="false" ht="19.5" hidden="false" customHeight="true" outlineLevel="0" collapsed="false"/>
    <row r="77" customFormat="false" ht="19.5" hidden="false" customHeight="true" outlineLevel="0" collapsed="false"/>
    <row r="78" customFormat="false" ht="19.5" hidden="false" customHeight="true" outlineLevel="0" collapsed="false"/>
    <row r="79" customFormat="false" ht="19.5" hidden="false" customHeight="true" outlineLevel="0" collapsed="false"/>
  </sheetData>
  <mergeCells count="5">
    <mergeCell ref="B1:E1"/>
    <mergeCell ref="B4:E4"/>
    <mergeCell ref="B17:E17"/>
    <mergeCell ref="B24:E24"/>
    <mergeCell ref="B32:E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2026-02-19T16:53:32Z</dcterms:created>
  <dc:creator>openpyxl</dc:creator>
  <dc:description/>
  <dc:language>en-US</dc:language>
  <cp:lastModifiedBy/>
  <dcterms:modified xsi:type="dcterms:W3CDTF">2026-02-19T16:53:32Z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